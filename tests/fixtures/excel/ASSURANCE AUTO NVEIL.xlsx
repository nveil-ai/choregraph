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AEBC4A-116E-4BB3-8CD9-6D0AC6A0678E}" xr6:coauthVersionLast="47" xr6:coauthVersionMax="47" xr10:uidLastSave="{00000000-0000-0000-0000-000000000000}"/>
  <bookViews>
    <workbookView xWindow="-96" yWindow="0" windowWidth="11712" windowHeight="12336" firstSheet="4" activeTab="5" xr2:uid="{ABEDBBE8-E00A-42CF-9A00-6B60106E7B44}"/>
  </bookViews>
  <sheets>
    <sheet name="AUTO 2026" sheetId="1" r:id="rId1"/>
    <sheet name="AUTO 2025" sheetId="14" r:id="rId2"/>
    <sheet name="AUTO 2024" sheetId="15" r:id="rId3"/>
    <sheet name="FLOTTE" sheetId="16" r:id="rId4"/>
    <sheet name="VH FONCTION" sheetId="19" r:id="rId5"/>
    <sheet name="VH SERVICE" sheetId="17" r:id="rId6"/>
  </sheets>
  <externalReferences>
    <externalReference r:id="rId7"/>
  </externalReferences>
  <definedNames>
    <definedName name="_xlnm._FilterDatabase" localSheetId="2" hidden="1">'AUTO 2024'!$A$1:$AE$52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7" l="1"/>
  <c r="I21" i="17"/>
  <c r="J17" i="17"/>
  <c r="I17" i="17"/>
  <c r="J16" i="17"/>
  <c r="I16" i="17"/>
  <c r="J12" i="17"/>
  <c r="I12" i="17"/>
  <c r="J7" i="17"/>
  <c r="I7" i="17"/>
  <c r="J6" i="17"/>
  <c r="I6" i="17"/>
  <c r="D22" i="17"/>
  <c r="C22" i="17"/>
  <c r="D20" i="17"/>
  <c r="C20" i="17"/>
  <c r="D16" i="17"/>
  <c r="C16" i="17"/>
  <c r="D14" i="17"/>
  <c r="C14" i="17"/>
  <c r="D13" i="17"/>
  <c r="C13" i="17"/>
  <c r="D12" i="17"/>
  <c r="C12" i="17"/>
  <c r="D11" i="17"/>
  <c r="C11" i="17"/>
  <c r="O7" i="19"/>
  <c r="N7" i="19"/>
  <c r="K16" i="19"/>
  <c r="J16" i="19"/>
  <c r="K12" i="19"/>
  <c r="J12" i="19"/>
  <c r="K5" i="19"/>
  <c r="J5" i="19"/>
  <c r="K4" i="19"/>
  <c r="J4" i="19"/>
  <c r="K3" i="19"/>
  <c r="J3" i="19"/>
  <c r="E16" i="19"/>
  <c r="D16" i="19"/>
  <c r="E11" i="19"/>
  <c r="D11" i="19"/>
  <c r="E9" i="19"/>
  <c r="D9" i="19"/>
  <c r="E7" i="19"/>
  <c r="D7" i="19"/>
  <c r="E6" i="19"/>
  <c r="D6" i="19"/>
  <c r="O15" i="16"/>
  <c r="N15" i="16"/>
  <c r="K35" i="16"/>
  <c r="J35" i="16"/>
  <c r="K33" i="16"/>
  <c r="J33" i="16"/>
  <c r="K29" i="16"/>
  <c r="J29" i="16"/>
  <c r="K27" i="16"/>
  <c r="J27" i="16"/>
  <c r="K23" i="16"/>
  <c r="J23" i="16"/>
  <c r="K21" i="16"/>
  <c r="J21" i="16"/>
  <c r="K13" i="16"/>
  <c r="J13" i="16"/>
  <c r="K11" i="16"/>
  <c r="J11" i="16"/>
  <c r="K8" i="16"/>
  <c r="J8" i="16"/>
  <c r="K7" i="16"/>
  <c r="J7" i="16"/>
  <c r="K4" i="16"/>
  <c r="J4" i="16"/>
  <c r="E36" i="16"/>
  <c r="D36" i="16"/>
  <c r="E34" i="16"/>
  <c r="D34" i="16"/>
  <c r="E33" i="16"/>
  <c r="D33" i="16"/>
  <c r="E27" i="16"/>
  <c r="D27" i="16"/>
  <c r="E25" i="16"/>
  <c r="D25" i="16"/>
  <c r="E24" i="16"/>
  <c r="D24" i="16"/>
  <c r="E23" i="16"/>
  <c r="D23" i="16"/>
  <c r="E20" i="16"/>
  <c r="D20" i="16"/>
  <c r="E18" i="16"/>
  <c r="D18" i="16"/>
  <c r="E17" i="16"/>
  <c r="D17" i="16"/>
  <c r="E15" i="16"/>
  <c r="D15" i="16"/>
  <c r="E14" i="16"/>
  <c r="D14" i="16"/>
  <c r="AD43" i="1"/>
  <c r="AD42" i="1"/>
  <c r="AE44" i="1"/>
  <c r="W48" i="1"/>
  <c r="W47" i="1"/>
  <c r="Y47" i="1" s="1"/>
  <c r="V48" i="1"/>
  <c r="V47" i="1"/>
  <c r="X42" i="1"/>
  <c r="W43" i="1"/>
  <c r="W42" i="1"/>
  <c r="V43" i="1"/>
  <c r="V42" i="1"/>
  <c r="AC39" i="1"/>
  <c r="Y39" i="1"/>
  <c r="V39" i="1"/>
  <c r="AC46" i="1"/>
  <c r="AD45" i="1" s="1"/>
  <c r="AD44" i="1"/>
  <c r="Y43" i="1"/>
  <c r="X43" i="1"/>
  <c r="AE46" i="1"/>
  <c r="AF43" i="1" s="1"/>
  <c r="V44" i="1"/>
  <c r="AE55" i="14"/>
  <c r="AE54" i="14"/>
  <c r="AE53" i="14"/>
  <c r="AE56" i="14"/>
  <c r="Y54" i="14"/>
  <c r="Y55" i="14"/>
  <c r="Y60" i="14"/>
  <c r="AC50" i="14"/>
  <c r="AD55" i="15"/>
  <c r="Z55" i="15"/>
  <c r="V50" i="14"/>
  <c r="V55" i="15"/>
  <c r="V52" i="15"/>
  <c r="Y59" i="14"/>
  <c r="Y58" i="14"/>
  <c r="W58" i="14"/>
  <c r="W59" i="14"/>
  <c r="V59" i="14"/>
  <c r="V58" i="14"/>
  <c r="Y53" i="14"/>
  <c r="V54" i="14"/>
  <c r="X54" i="14" s="1"/>
  <c r="V53" i="14"/>
  <c r="X53" i="14"/>
  <c r="X63" i="15"/>
  <c r="X59" i="15"/>
  <c r="X58" i="15"/>
  <c r="W64" i="15"/>
  <c r="X64" i="15" s="1"/>
  <c r="W63" i="15"/>
  <c r="V64" i="15"/>
  <c r="V63" i="15"/>
  <c r="Y64" i="15"/>
  <c r="W58" i="15"/>
  <c r="W65" i="15"/>
  <c r="AE60" i="15"/>
  <c r="W52" i="15"/>
  <c r="AE59" i="15"/>
  <c r="AE58" i="15"/>
  <c r="X52" i="15"/>
  <c r="X47" i="14"/>
  <c r="Z47" i="14"/>
  <c r="W47" i="14"/>
  <c r="Z52" i="15"/>
  <c r="X36" i="1"/>
  <c r="Z36" i="1"/>
  <c r="W36" i="1"/>
  <c r="F52" i="19"/>
  <c r="H52" i="19"/>
  <c r="H54" i="19" s="1"/>
  <c r="L52" i="19"/>
  <c r="P52" i="19"/>
  <c r="P53" i="19"/>
  <c r="L53" i="19"/>
  <c r="H53" i="19"/>
  <c r="F53" i="19"/>
  <c r="A59" i="17"/>
  <c r="A45" i="19"/>
  <c r="A17" i="19"/>
  <c r="A87" i="16"/>
  <c r="P94" i="16"/>
  <c r="L95" i="16"/>
  <c r="L94" i="16"/>
  <c r="H94" i="16"/>
  <c r="H95" i="16"/>
  <c r="F95" i="16"/>
  <c r="F94" i="16"/>
  <c r="A38" i="16"/>
  <c r="K67" i="17"/>
  <c r="O67" i="17"/>
  <c r="O66" i="17"/>
  <c r="K66" i="17"/>
  <c r="G67" i="17"/>
  <c r="E67" i="17"/>
  <c r="E66" i="17"/>
  <c r="G66" i="17"/>
  <c r="G68" i="17" s="1"/>
  <c r="A24" i="17"/>
  <c r="P51" i="19"/>
  <c r="L51" i="19"/>
  <c r="H51" i="19"/>
  <c r="Q16" i="19"/>
  <c r="M16" i="19"/>
  <c r="I16" i="19"/>
  <c r="Q15" i="19"/>
  <c r="M15" i="19"/>
  <c r="I15" i="19"/>
  <c r="Q14" i="19"/>
  <c r="M14" i="19"/>
  <c r="I14" i="19"/>
  <c r="Q13" i="19"/>
  <c r="M13" i="19"/>
  <c r="I13" i="19"/>
  <c r="Q12" i="19"/>
  <c r="M12" i="19"/>
  <c r="I12" i="19"/>
  <c r="Q11" i="19"/>
  <c r="M11" i="19"/>
  <c r="I11" i="19"/>
  <c r="Q10" i="19"/>
  <c r="M10" i="19"/>
  <c r="I10" i="19"/>
  <c r="Q9" i="19"/>
  <c r="M9" i="19"/>
  <c r="I9" i="19"/>
  <c r="M8" i="19"/>
  <c r="M20" i="19" s="1"/>
  <c r="I8" i="19"/>
  <c r="F8" i="19"/>
  <c r="Q7" i="19"/>
  <c r="O17" i="19"/>
  <c r="N17" i="19"/>
  <c r="M7" i="19"/>
  <c r="I7" i="19"/>
  <c r="Q6" i="19"/>
  <c r="M6" i="19"/>
  <c r="Q5" i="19"/>
  <c r="M5" i="19"/>
  <c r="Q4" i="19"/>
  <c r="Q3" i="19"/>
  <c r="O65" i="17"/>
  <c r="K65" i="17"/>
  <c r="G65" i="17"/>
  <c r="L23" i="17"/>
  <c r="H23" i="17"/>
  <c r="L22" i="17"/>
  <c r="H22" i="17"/>
  <c r="L21" i="17"/>
  <c r="H21" i="17"/>
  <c r="L20" i="17"/>
  <c r="H20" i="17"/>
  <c r="L19" i="17"/>
  <c r="H19" i="17"/>
  <c r="P18" i="17"/>
  <c r="L18" i="17"/>
  <c r="H18" i="17"/>
  <c r="P17" i="17"/>
  <c r="L17" i="17"/>
  <c r="H17" i="17"/>
  <c r="P16" i="17"/>
  <c r="L16" i="17"/>
  <c r="K16" i="17"/>
  <c r="H16" i="17"/>
  <c r="P15" i="17"/>
  <c r="L15" i="17"/>
  <c r="H15" i="17"/>
  <c r="P14" i="17"/>
  <c r="L14" i="17"/>
  <c r="H14" i="17"/>
  <c r="P13" i="17"/>
  <c r="L13" i="17"/>
  <c r="H13" i="17"/>
  <c r="P12" i="17"/>
  <c r="L12" i="17"/>
  <c r="H12" i="17"/>
  <c r="P11" i="17"/>
  <c r="L11" i="17"/>
  <c r="H11" i="17"/>
  <c r="N24" i="17"/>
  <c r="M24" i="17"/>
  <c r="P10" i="17"/>
  <c r="P9" i="17"/>
  <c r="P8" i="17"/>
  <c r="P7" i="17"/>
  <c r="P6" i="17"/>
  <c r="P5" i="17"/>
  <c r="O5" i="17"/>
  <c r="P4" i="17"/>
  <c r="P3" i="17"/>
  <c r="P95" i="16"/>
  <c r="F16" i="16"/>
  <c r="V47" i="14"/>
  <c r="Y29" i="14"/>
  <c r="Y4" i="15"/>
  <c r="AC14" i="1"/>
  <c r="P14" i="16" s="1"/>
  <c r="AC57" i="14"/>
  <c r="AD56" i="14" s="1"/>
  <c r="AH5" i="1"/>
  <c r="AI4" i="1" s="1"/>
  <c r="AI5" i="1" s="1"/>
  <c r="V59" i="15"/>
  <c r="V58" i="15"/>
  <c r="W59" i="15"/>
  <c r="W53" i="14"/>
  <c r="W54" i="14"/>
  <c r="D38" i="1"/>
  <c r="D37" i="1"/>
  <c r="D49" i="14"/>
  <c r="D48" i="14"/>
  <c r="D54" i="15"/>
  <c r="D53" i="15"/>
  <c r="Y15" i="1"/>
  <c r="Y41" i="14"/>
  <c r="Y35" i="14"/>
  <c r="Y27" i="14"/>
  <c r="Y23" i="14"/>
  <c r="Y21" i="14"/>
  <c r="Y12" i="14"/>
  <c r="Y10" i="14"/>
  <c r="Y7" i="14"/>
  <c r="Y6" i="14"/>
  <c r="Y3" i="14"/>
  <c r="Y43" i="15"/>
  <c r="Y47" i="15"/>
  <c r="Y41" i="15"/>
  <c r="Y31" i="15"/>
  <c r="Y27" i="15"/>
  <c r="Y25" i="15"/>
  <c r="Y23" i="15"/>
  <c r="Y7" i="15"/>
  <c r="Y11" i="15"/>
  <c r="Y13" i="15"/>
  <c r="Y17" i="15"/>
  <c r="L93" i="16"/>
  <c r="H93" i="16"/>
  <c r="Q30" i="16"/>
  <c r="Q29" i="16"/>
  <c r="Q23" i="16"/>
  <c r="Q14" i="16"/>
  <c r="M30" i="16"/>
  <c r="M16" i="16"/>
  <c r="M31" i="16"/>
  <c r="M32" i="16"/>
  <c r="M37" i="16"/>
  <c r="M36" i="16"/>
  <c r="M35" i="16"/>
  <c r="M34" i="16"/>
  <c r="Q44" i="15"/>
  <c r="F20" i="17" s="1"/>
  <c r="Q43" i="15"/>
  <c r="F34" i="16" s="1"/>
  <c r="AC47" i="15"/>
  <c r="AC23" i="15"/>
  <c r="H23" i="16" s="1"/>
  <c r="Q23" i="15"/>
  <c r="F23" i="16" s="1"/>
  <c r="AC7" i="15"/>
  <c r="AC9" i="15"/>
  <c r="Q4" i="15"/>
  <c r="AC4" i="15" s="1"/>
  <c r="Q3" i="15"/>
  <c r="AC3" i="15" s="1"/>
  <c r="H13" i="16" s="1"/>
  <c r="I13" i="16" s="1"/>
  <c r="AC17" i="15"/>
  <c r="Q3" i="14"/>
  <c r="AC3" i="14" s="1"/>
  <c r="AC15" i="15"/>
  <c r="AC13" i="14"/>
  <c r="L14" i="16" s="1"/>
  <c r="AC12" i="14"/>
  <c r="L13" i="16" s="1"/>
  <c r="Q50" i="15"/>
  <c r="G37" i="16" s="1"/>
  <c r="Q49" i="15"/>
  <c r="E23" i="17" s="1"/>
  <c r="Q48" i="15"/>
  <c r="G36" i="16" s="1"/>
  <c r="Q47" i="15"/>
  <c r="F36" i="16" s="1"/>
  <c r="Q46" i="15"/>
  <c r="F21" i="17" s="1"/>
  <c r="Q45" i="15"/>
  <c r="E21" i="17" s="1"/>
  <c r="Q42" i="15"/>
  <c r="G16" i="19" s="1"/>
  <c r="Q41" i="15"/>
  <c r="F33" i="16" s="1"/>
  <c r="Q40" i="15"/>
  <c r="F19" i="17" s="1"/>
  <c r="Q39" i="15"/>
  <c r="F32" i="16" s="1"/>
  <c r="Q38" i="15"/>
  <c r="G15" i="19" s="1"/>
  <c r="Q37" i="15"/>
  <c r="F31" i="16" s="1"/>
  <c r="Q36" i="15"/>
  <c r="F30" i="16" s="1"/>
  <c r="Q35" i="15"/>
  <c r="F29" i="16" s="1"/>
  <c r="Q34" i="15"/>
  <c r="G28" i="16" s="1"/>
  <c r="Q33" i="15"/>
  <c r="F28" i="16" s="1"/>
  <c r="Q32" i="15"/>
  <c r="F16" i="17" s="1"/>
  <c r="Q31" i="15"/>
  <c r="E16" i="17" s="1"/>
  <c r="Q30" i="15"/>
  <c r="G26" i="16" s="1"/>
  <c r="Q29" i="15"/>
  <c r="E15" i="17" s="1"/>
  <c r="Q28" i="15"/>
  <c r="G25" i="16" s="1"/>
  <c r="Q27" i="15"/>
  <c r="E14" i="17" s="1"/>
  <c r="Q26" i="15"/>
  <c r="G24" i="16" s="1"/>
  <c r="Q25" i="15"/>
  <c r="F24" i="16" s="1"/>
  <c r="Q22" i="15"/>
  <c r="G22" i="16" s="1"/>
  <c r="Q21" i="15"/>
  <c r="F22" i="16" s="1"/>
  <c r="Q20" i="15"/>
  <c r="G21" i="16" s="1"/>
  <c r="Q19" i="15"/>
  <c r="F21" i="16" s="1"/>
  <c r="Q18" i="15"/>
  <c r="G20" i="16" s="1"/>
  <c r="Q17" i="15"/>
  <c r="F11" i="19" s="1"/>
  <c r="Q16" i="15"/>
  <c r="G10" i="19" s="1"/>
  <c r="Q15" i="15"/>
  <c r="F19" i="16" s="1"/>
  <c r="Q14" i="15"/>
  <c r="F11" i="17" s="1"/>
  <c r="Q13" i="15"/>
  <c r="E11" i="17" s="1"/>
  <c r="Q12" i="15"/>
  <c r="G9" i="19" s="1"/>
  <c r="Q11" i="15"/>
  <c r="F17" i="16" s="1"/>
  <c r="Q10" i="15"/>
  <c r="G16" i="16" s="1"/>
  <c r="Q8" i="15"/>
  <c r="G15" i="16" s="1"/>
  <c r="Q7" i="15"/>
  <c r="F15" i="16" s="1"/>
  <c r="Q11" i="14"/>
  <c r="K10" i="17" s="1"/>
  <c r="L10" i="17" s="1"/>
  <c r="Q10" i="14"/>
  <c r="L11" i="16" s="1"/>
  <c r="M11" i="16" s="1"/>
  <c r="Q9" i="14"/>
  <c r="K9" i="17" s="1"/>
  <c r="L9" i="17" s="1"/>
  <c r="Q8" i="14"/>
  <c r="L9" i="16" s="1"/>
  <c r="Q7" i="14"/>
  <c r="L8" i="16" s="1"/>
  <c r="Q6" i="14"/>
  <c r="L7" i="16" s="1"/>
  <c r="Q5" i="14"/>
  <c r="L6" i="16" s="1"/>
  <c r="Q4" i="14"/>
  <c r="AC4" i="14" s="1"/>
  <c r="P25" i="16"/>
  <c r="P26" i="16"/>
  <c r="AC23" i="14"/>
  <c r="L23" i="16" s="1"/>
  <c r="AC8" i="15"/>
  <c r="AD47" i="14"/>
  <c r="AC16" i="14"/>
  <c r="AC45" i="14"/>
  <c r="AC42" i="14"/>
  <c r="AC43" i="14"/>
  <c r="AC40" i="14"/>
  <c r="AC39" i="14"/>
  <c r="L35" i="16" s="1"/>
  <c r="AC38" i="14"/>
  <c r="AC34" i="14"/>
  <c r="AC5" i="15"/>
  <c r="AC6" i="15"/>
  <c r="AC50" i="15"/>
  <c r="AC48" i="15"/>
  <c r="AC46" i="15"/>
  <c r="AC44" i="15"/>
  <c r="AC42" i="15"/>
  <c r="AC40" i="15"/>
  <c r="AC38" i="15"/>
  <c r="AC34" i="15"/>
  <c r="AC32" i="15"/>
  <c r="G16" i="17" s="1"/>
  <c r="AC30" i="15"/>
  <c r="AC28" i="15"/>
  <c r="AC26" i="15"/>
  <c r="AC22" i="15"/>
  <c r="AC20" i="15"/>
  <c r="AC18" i="15"/>
  <c r="AC16" i="15"/>
  <c r="AC14" i="15"/>
  <c r="AC12" i="15"/>
  <c r="AC10" i="15"/>
  <c r="AC49" i="15"/>
  <c r="AC45" i="15"/>
  <c r="AC43" i="15"/>
  <c r="AC41" i="15"/>
  <c r="AC39" i="15"/>
  <c r="AC36" i="15"/>
  <c r="H30" i="16" s="1"/>
  <c r="AC37" i="15"/>
  <c r="AC35" i="15"/>
  <c r="H29" i="16" s="1"/>
  <c r="AC33" i="15"/>
  <c r="AC31" i="15"/>
  <c r="AC29" i="15"/>
  <c r="AC27" i="15"/>
  <c r="AC25" i="15"/>
  <c r="AC21" i="15"/>
  <c r="AC19" i="15"/>
  <c r="AC13" i="15"/>
  <c r="AC11" i="15"/>
  <c r="AC4" i="1"/>
  <c r="P4" i="16" s="1"/>
  <c r="AC5" i="1"/>
  <c r="P5" i="16" s="1"/>
  <c r="AC6" i="1"/>
  <c r="P6" i="16" s="1"/>
  <c r="AC7" i="1"/>
  <c r="P7" i="16" s="1"/>
  <c r="AC8" i="1"/>
  <c r="P8" i="16" s="1"/>
  <c r="AC9" i="1"/>
  <c r="P9" i="16" s="1"/>
  <c r="AC10" i="1"/>
  <c r="P10" i="16" s="1"/>
  <c r="AC11" i="1"/>
  <c r="P11" i="16" s="1"/>
  <c r="AC12" i="1"/>
  <c r="P12" i="16" s="1"/>
  <c r="AC13" i="1"/>
  <c r="P13" i="16" s="1"/>
  <c r="AC15" i="1"/>
  <c r="P15" i="16" s="1"/>
  <c r="AC16" i="1"/>
  <c r="P9" i="19" s="1"/>
  <c r="AC17" i="1"/>
  <c r="P18" i="16" s="1"/>
  <c r="AC18" i="1"/>
  <c r="P19" i="16" s="1"/>
  <c r="AC19" i="1"/>
  <c r="P20" i="16" s="1"/>
  <c r="AC20" i="1"/>
  <c r="P21" i="16" s="1"/>
  <c r="AC21" i="1"/>
  <c r="P22" i="16" s="1"/>
  <c r="AC22" i="1"/>
  <c r="P23" i="16" s="1"/>
  <c r="AC24" i="1"/>
  <c r="P24" i="16" s="1"/>
  <c r="AC25" i="1"/>
  <c r="O14" i="17" s="1"/>
  <c r="AC26" i="1"/>
  <c r="O15" i="17" s="1"/>
  <c r="AC27" i="1"/>
  <c r="P27" i="16" s="1"/>
  <c r="AC28" i="1"/>
  <c r="P14" i="19" s="1"/>
  <c r="AC29" i="1"/>
  <c r="O17" i="17" s="1"/>
  <c r="AC31" i="1"/>
  <c r="P30" i="16" s="1"/>
  <c r="AC33" i="1"/>
  <c r="P31" i="16" s="1"/>
  <c r="AC34" i="1"/>
  <c r="P33" i="16" s="1"/>
  <c r="AC3" i="1"/>
  <c r="P3" i="16" s="1"/>
  <c r="P40" i="16" s="1"/>
  <c r="AC44" i="14"/>
  <c r="L37" i="16" s="1"/>
  <c r="AC41" i="14"/>
  <c r="L36" i="16" s="1"/>
  <c r="AC37" i="14"/>
  <c r="L34" i="16" s="1"/>
  <c r="AC33" i="14"/>
  <c r="L32" i="16" s="1"/>
  <c r="AC29" i="14"/>
  <c r="L29" i="16" s="1"/>
  <c r="AC31" i="14"/>
  <c r="L30" i="16" s="1"/>
  <c r="AC35" i="14"/>
  <c r="L33" i="16" s="1"/>
  <c r="AC32" i="14"/>
  <c r="L31" i="16" s="1"/>
  <c r="AC24" i="14"/>
  <c r="L24" i="16" s="1"/>
  <c r="AC25" i="14"/>
  <c r="L25" i="16" s="1"/>
  <c r="AC26" i="14"/>
  <c r="L26" i="16" s="1"/>
  <c r="AC27" i="14"/>
  <c r="L27" i="16" s="1"/>
  <c r="AC28" i="14"/>
  <c r="L28" i="16" s="1"/>
  <c r="AC14" i="14"/>
  <c r="L15" i="16" s="1"/>
  <c r="AC15" i="14"/>
  <c r="L8" i="19" s="1"/>
  <c r="L20" i="19" s="1"/>
  <c r="AC17" i="14"/>
  <c r="L17" i="16" s="1"/>
  <c r="AC18" i="14"/>
  <c r="L18" i="16" s="1"/>
  <c r="AC19" i="14"/>
  <c r="L19" i="16" s="1"/>
  <c r="AC20" i="14"/>
  <c r="L20" i="16" s="1"/>
  <c r="AC21" i="14"/>
  <c r="L21" i="16" s="1"/>
  <c r="AC22" i="14"/>
  <c r="L22" i="16" s="1"/>
  <c r="AC11" i="14"/>
  <c r="AC8" i="14"/>
  <c r="AC9" i="14"/>
  <c r="AC10" i="14"/>
  <c r="N38" i="16"/>
  <c r="O38" i="16"/>
  <c r="Q33" i="16"/>
  <c r="Q31" i="16"/>
  <c r="Q25" i="16"/>
  <c r="Q26" i="16"/>
  <c r="Q27" i="16"/>
  <c r="Q28" i="16"/>
  <c r="Q24" i="16"/>
  <c r="Q18" i="16"/>
  <c r="Q19" i="16"/>
  <c r="Q20" i="16"/>
  <c r="Q21" i="16"/>
  <c r="Q22" i="16"/>
  <c r="Q17" i="16"/>
  <c r="Q3" i="16"/>
  <c r="Q40" i="16" s="1"/>
  <c r="Q15" i="16"/>
  <c r="Q13" i="16"/>
  <c r="Q5" i="16"/>
  <c r="Q6" i="16"/>
  <c r="Q7" i="16"/>
  <c r="Q8" i="16"/>
  <c r="Q9" i="16"/>
  <c r="Q10" i="16"/>
  <c r="Q11" i="16"/>
  <c r="Q12" i="16"/>
  <c r="Q4" i="16"/>
  <c r="M33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17" i="16"/>
  <c r="M13" i="16"/>
  <c r="M14" i="16"/>
  <c r="M15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AC61" i="15"/>
  <c r="AD60" i="15" s="1"/>
  <c r="AD52" i="15"/>
  <c r="V36" i="1"/>
  <c r="AF44" i="1" l="1"/>
  <c r="AF45" i="1"/>
  <c r="AD46" i="1"/>
  <c r="Y48" i="1"/>
  <c r="X47" i="1"/>
  <c r="X49" i="1" s="1"/>
  <c r="X48" i="1"/>
  <c r="W44" i="1"/>
  <c r="Y44" i="1"/>
  <c r="AF42" i="1"/>
  <c r="AF46" i="1" s="1"/>
  <c r="V49" i="1"/>
  <c r="W49" i="1"/>
  <c r="X44" i="1"/>
  <c r="Y42" i="1"/>
  <c r="AE57" i="14"/>
  <c r="X58" i="14"/>
  <c r="W60" i="14"/>
  <c r="X59" i="14"/>
  <c r="X60" i="14"/>
  <c r="V60" i="14"/>
  <c r="X55" i="14"/>
  <c r="H19" i="16"/>
  <c r="L68" i="16" s="1"/>
  <c r="H9" i="19"/>
  <c r="G34" i="16"/>
  <c r="G83" i="16" s="1"/>
  <c r="X60" i="15"/>
  <c r="D39" i="1"/>
  <c r="O10" i="17"/>
  <c r="AC5" i="14"/>
  <c r="L12" i="16"/>
  <c r="M12" i="16" s="1"/>
  <c r="Q61" i="16" s="1"/>
  <c r="K8" i="17"/>
  <c r="L8" i="17" s="1"/>
  <c r="P43" i="17" s="1"/>
  <c r="G32" i="16"/>
  <c r="G81" i="16" s="1"/>
  <c r="F26" i="16"/>
  <c r="G75" i="16" s="1"/>
  <c r="Y59" i="15"/>
  <c r="V65" i="15"/>
  <c r="Y65" i="15" s="1"/>
  <c r="Y63" i="15"/>
  <c r="M43" i="16"/>
  <c r="H28" i="16"/>
  <c r="L77" i="16" s="1"/>
  <c r="F27" i="16"/>
  <c r="F35" i="16"/>
  <c r="H18" i="16"/>
  <c r="L67" i="16" s="1"/>
  <c r="H5" i="19"/>
  <c r="I5" i="19" s="1"/>
  <c r="G19" i="16"/>
  <c r="G68" i="16" s="1"/>
  <c r="H33" i="16"/>
  <c r="L82" i="16" s="1"/>
  <c r="H21" i="16"/>
  <c r="L70" i="16" s="1"/>
  <c r="G33" i="16"/>
  <c r="G82" i="16" s="1"/>
  <c r="L16" i="16"/>
  <c r="L41" i="16" s="1"/>
  <c r="K5" i="17"/>
  <c r="L5" i="17" s="1"/>
  <c r="P40" i="17" s="1"/>
  <c r="L3" i="19"/>
  <c r="M3" i="19" s="1"/>
  <c r="L10" i="16"/>
  <c r="M10" i="16" s="1"/>
  <c r="Q59" i="16" s="1"/>
  <c r="D50" i="14"/>
  <c r="K21" i="17"/>
  <c r="L10" i="19"/>
  <c r="K18" i="17"/>
  <c r="AC7" i="14"/>
  <c r="L29" i="17"/>
  <c r="K7" i="17"/>
  <c r="L7" i="17" s="1"/>
  <c r="P42" i="17" s="1"/>
  <c r="L4" i="16"/>
  <c r="M4" i="16" s="1"/>
  <c r="Q53" i="16" s="1"/>
  <c r="V55" i="14"/>
  <c r="L5" i="19"/>
  <c r="O12" i="17"/>
  <c r="P12" i="19"/>
  <c r="O3" i="17"/>
  <c r="O26" i="17" s="1"/>
  <c r="O7" i="17"/>
  <c r="P29" i="17"/>
  <c r="Q43" i="16"/>
  <c r="P30" i="17"/>
  <c r="P17" i="16"/>
  <c r="P66" i="16" s="1"/>
  <c r="P28" i="16"/>
  <c r="P77" i="16" s="1"/>
  <c r="P7" i="19"/>
  <c r="P10" i="19"/>
  <c r="P15" i="19"/>
  <c r="O4" i="17"/>
  <c r="P29" i="16"/>
  <c r="P78" i="16" s="1"/>
  <c r="O11" i="17"/>
  <c r="O13" i="17"/>
  <c r="P5" i="19"/>
  <c r="O8" i="17"/>
  <c r="P3" i="19"/>
  <c r="P13" i="19"/>
  <c r="Q44" i="16"/>
  <c r="O9" i="17"/>
  <c r="O44" i="17" s="1"/>
  <c r="P6" i="19"/>
  <c r="P11" i="19"/>
  <c r="O18" i="17"/>
  <c r="O6" i="17"/>
  <c r="O16" i="17"/>
  <c r="O51" i="17" s="1"/>
  <c r="P4" i="19"/>
  <c r="P16" i="19"/>
  <c r="AD53" i="14"/>
  <c r="L14" i="19"/>
  <c r="P42" i="19" s="1"/>
  <c r="AD54" i="14"/>
  <c r="K11" i="17"/>
  <c r="K15" i="17"/>
  <c r="O50" i="17" s="1"/>
  <c r="AD55" i="14"/>
  <c r="K22" i="17"/>
  <c r="L12" i="19"/>
  <c r="P40" i="19" s="1"/>
  <c r="L16" i="19"/>
  <c r="W55" i="14"/>
  <c r="K13" i="17"/>
  <c r="K19" i="17"/>
  <c r="L6" i="19"/>
  <c r="K6" i="17"/>
  <c r="L6" i="17" s="1"/>
  <c r="P41" i="17" s="1"/>
  <c r="K17" i="17"/>
  <c r="K23" i="17"/>
  <c r="L4" i="19"/>
  <c r="M4" i="19" s="1"/>
  <c r="Q32" i="19" s="1"/>
  <c r="L15" i="19"/>
  <c r="K20" i="17"/>
  <c r="L9" i="19"/>
  <c r="L37" i="19" s="1"/>
  <c r="L11" i="19"/>
  <c r="L13" i="19"/>
  <c r="K12" i="17"/>
  <c r="O47" i="17" s="1"/>
  <c r="K14" i="17"/>
  <c r="O49" i="17" s="1"/>
  <c r="L7" i="19"/>
  <c r="K4" i="17"/>
  <c r="V60" i="15"/>
  <c r="G22" i="17"/>
  <c r="H34" i="16"/>
  <c r="L83" i="16" s="1"/>
  <c r="G27" i="16"/>
  <c r="H13" i="19"/>
  <c r="H35" i="16"/>
  <c r="L84" i="16" s="1"/>
  <c r="G31" i="16"/>
  <c r="G80" i="16" s="1"/>
  <c r="D55" i="15"/>
  <c r="G35" i="16"/>
  <c r="H14" i="19"/>
  <c r="H10" i="19"/>
  <c r="G14" i="17"/>
  <c r="G15" i="17"/>
  <c r="H11" i="19"/>
  <c r="H15" i="19"/>
  <c r="F20" i="16"/>
  <c r="G69" i="16" s="1"/>
  <c r="H16" i="16"/>
  <c r="H32" i="16"/>
  <c r="L81" i="16" s="1"/>
  <c r="H27" i="16"/>
  <c r="L76" i="16" s="1"/>
  <c r="W60" i="15"/>
  <c r="F14" i="17"/>
  <c r="G17" i="17"/>
  <c r="H26" i="16"/>
  <c r="L75" i="16" s="1"/>
  <c r="E20" i="17"/>
  <c r="F55" i="17" s="1"/>
  <c r="G11" i="19"/>
  <c r="G39" i="19" s="1"/>
  <c r="E13" i="17"/>
  <c r="F10" i="19"/>
  <c r="G38" i="19" s="1"/>
  <c r="F13" i="17"/>
  <c r="G20" i="17"/>
  <c r="Y58" i="15"/>
  <c r="F15" i="17"/>
  <c r="F50" i="17" s="1"/>
  <c r="G8" i="19"/>
  <c r="G36" i="19" s="1"/>
  <c r="H14" i="16"/>
  <c r="I14" i="16" s="1"/>
  <c r="I40" i="16" s="1"/>
  <c r="H6" i="19"/>
  <c r="I6" i="19" s="1"/>
  <c r="M34" i="19" s="1"/>
  <c r="G18" i="17"/>
  <c r="F37" i="16"/>
  <c r="G86" i="16" s="1"/>
  <c r="E17" i="17"/>
  <c r="E12" i="17"/>
  <c r="H15" i="16"/>
  <c r="L64" i="16" s="1"/>
  <c r="E22" i="17"/>
  <c r="F22" i="17"/>
  <c r="F7" i="19"/>
  <c r="H8" i="19"/>
  <c r="L36" i="19" s="1"/>
  <c r="F14" i="19"/>
  <c r="G7" i="19"/>
  <c r="G14" i="19"/>
  <c r="H24" i="16"/>
  <c r="L73" i="16" s="1"/>
  <c r="H37" i="16"/>
  <c r="L86" i="16" s="1"/>
  <c r="H17" i="16"/>
  <c r="L66" i="16" s="1"/>
  <c r="G13" i="17"/>
  <c r="H7" i="19"/>
  <c r="H25" i="16"/>
  <c r="L74" i="16" s="1"/>
  <c r="G17" i="16"/>
  <c r="G66" i="16" s="1"/>
  <c r="F13" i="19"/>
  <c r="G18" i="16"/>
  <c r="F18" i="16"/>
  <c r="G21" i="17"/>
  <c r="F23" i="17"/>
  <c r="F58" i="17" s="1"/>
  <c r="F12" i="19"/>
  <c r="F16" i="19"/>
  <c r="G44" i="19" s="1"/>
  <c r="H20" i="16"/>
  <c r="L69" i="16" s="1"/>
  <c r="G11" i="17"/>
  <c r="G23" i="17"/>
  <c r="G12" i="19"/>
  <c r="H22" i="16"/>
  <c r="L71" i="16" s="1"/>
  <c r="G12" i="17"/>
  <c r="E19" i="17"/>
  <c r="F54" i="17" s="1"/>
  <c r="F9" i="19"/>
  <c r="G37" i="19" s="1"/>
  <c r="G19" i="17"/>
  <c r="G13" i="19"/>
  <c r="H31" i="16"/>
  <c r="L80" i="16" s="1"/>
  <c r="H36" i="16"/>
  <c r="L85" i="16" s="1"/>
  <c r="F25" i="16"/>
  <c r="G74" i="16" s="1"/>
  <c r="E18" i="17"/>
  <c r="H12" i="19"/>
  <c r="F15" i="19"/>
  <c r="G43" i="19" s="1"/>
  <c r="H16" i="19"/>
  <c r="I43" i="16"/>
  <c r="H30" i="17"/>
  <c r="H29" i="17"/>
  <c r="G64" i="16"/>
  <c r="I22" i="19"/>
  <c r="Q23" i="19"/>
  <c r="M22" i="19"/>
  <c r="Q22" i="19"/>
  <c r="K68" i="17"/>
  <c r="P27" i="17"/>
  <c r="L27" i="17"/>
  <c r="M41" i="16"/>
  <c r="Q33" i="19"/>
  <c r="Q39" i="19"/>
  <c r="P54" i="19"/>
  <c r="Q42" i="19"/>
  <c r="Q43" i="19"/>
  <c r="M36" i="19"/>
  <c r="Q38" i="19"/>
  <c r="M41" i="19"/>
  <c r="L54" i="19"/>
  <c r="E17" i="19"/>
  <c r="Q41" i="19"/>
  <c r="Q35" i="19"/>
  <c r="M37" i="19"/>
  <c r="M40" i="19"/>
  <c r="Q17" i="19"/>
  <c r="Q24" i="19" s="1"/>
  <c r="J17" i="19"/>
  <c r="Q34" i="19"/>
  <c r="Q37" i="19"/>
  <c r="M39" i="19"/>
  <c r="Q40" i="19"/>
  <c r="M42" i="19"/>
  <c r="M43" i="19"/>
  <c r="M38" i="19"/>
  <c r="M35" i="19"/>
  <c r="D17" i="19"/>
  <c r="M44" i="19"/>
  <c r="K17" i="19"/>
  <c r="Q44" i="19"/>
  <c r="L46" i="17"/>
  <c r="P51" i="17"/>
  <c r="P53" i="17"/>
  <c r="P24" i="17"/>
  <c r="P31" i="17" s="1"/>
  <c r="I24" i="17"/>
  <c r="L49" i="17"/>
  <c r="L54" i="17"/>
  <c r="L52" i="17"/>
  <c r="P49" i="17"/>
  <c r="L56" i="17"/>
  <c r="L58" i="17"/>
  <c r="P45" i="17"/>
  <c r="F51" i="17"/>
  <c r="P52" i="17"/>
  <c r="L48" i="17"/>
  <c r="F46" i="17"/>
  <c r="L47" i="17"/>
  <c r="P48" i="17"/>
  <c r="L55" i="17"/>
  <c r="K51" i="17"/>
  <c r="C24" i="17"/>
  <c r="P47" i="17"/>
  <c r="L50" i="17"/>
  <c r="L51" i="17"/>
  <c r="L53" i="17"/>
  <c r="F56" i="17"/>
  <c r="L57" i="17"/>
  <c r="D24" i="17"/>
  <c r="P50" i="17"/>
  <c r="O45" i="17"/>
  <c r="P46" i="17"/>
  <c r="P44" i="17"/>
  <c r="J24" i="17"/>
  <c r="P26" i="17"/>
  <c r="Q73" i="16"/>
  <c r="E38" i="16"/>
  <c r="Q66" i="16"/>
  <c r="Q63" i="16"/>
  <c r="Q38" i="16"/>
  <c r="Q45" i="16" s="1"/>
  <c r="L62" i="16"/>
  <c r="Q64" i="16"/>
  <c r="Y50" i="14"/>
  <c r="Q77" i="16"/>
  <c r="G73" i="16"/>
  <c r="Q70" i="16"/>
  <c r="Q69" i="16"/>
  <c r="Q68" i="16"/>
  <c r="M74" i="16"/>
  <c r="Q67" i="16"/>
  <c r="M75" i="16"/>
  <c r="M83" i="16"/>
  <c r="AJ5" i="1"/>
  <c r="M84" i="16"/>
  <c r="Q74" i="16"/>
  <c r="M85" i="16"/>
  <c r="M76" i="16"/>
  <c r="M79" i="16"/>
  <c r="Q78" i="16"/>
  <c r="Q72" i="16"/>
  <c r="Q71" i="16"/>
  <c r="Q80" i="16"/>
  <c r="Q52" i="16"/>
  <c r="P76" i="16"/>
  <c r="P80" i="16"/>
  <c r="P69" i="16"/>
  <c r="P82" i="16"/>
  <c r="P62" i="16"/>
  <c r="P68" i="16"/>
  <c r="P63" i="16"/>
  <c r="P75" i="16"/>
  <c r="Q62" i="16"/>
  <c r="Q82" i="16"/>
  <c r="P70" i="16"/>
  <c r="Q75" i="16"/>
  <c r="Q79" i="16"/>
  <c r="Q76" i="16"/>
  <c r="P79" i="16"/>
  <c r="P64" i="16"/>
  <c r="Q60" i="16"/>
  <c r="M86" i="16"/>
  <c r="M64" i="16"/>
  <c r="M65" i="16"/>
  <c r="M9" i="16"/>
  <c r="Q58" i="16" s="1"/>
  <c r="P58" i="16"/>
  <c r="M6" i="16"/>
  <c r="Q55" i="16" s="1"/>
  <c r="P55" i="16"/>
  <c r="M7" i="16"/>
  <c r="Q56" i="16" s="1"/>
  <c r="P56" i="16"/>
  <c r="M8" i="16"/>
  <c r="Q57" i="16" s="1"/>
  <c r="P57" i="16"/>
  <c r="M66" i="16"/>
  <c r="M78" i="16"/>
  <c r="M80" i="16"/>
  <c r="M77" i="16"/>
  <c r="L5" i="16"/>
  <c r="M67" i="16"/>
  <c r="M82" i="16"/>
  <c r="M71" i="16"/>
  <c r="M68" i="16"/>
  <c r="M72" i="16"/>
  <c r="AC6" i="14"/>
  <c r="AC47" i="14" s="1"/>
  <c r="M69" i="16"/>
  <c r="M81" i="16"/>
  <c r="M73" i="16"/>
  <c r="M70" i="16"/>
  <c r="P60" i="16"/>
  <c r="G72" i="16"/>
  <c r="P67" i="16"/>
  <c r="G85" i="16"/>
  <c r="G70" i="16"/>
  <c r="G78" i="16"/>
  <c r="G71" i="16"/>
  <c r="L79" i="16"/>
  <c r="G79" i="16"/>
  <c r="L72" i="16"/>
  <c r="G65" i="16"/>
  <c r="G77" i="16"/>
  <c r="P71" i="16"/>
  <c r="L78" i="16"/>
  <c r="P73" i="16"/>
  <c r="P72" i="16"/>
  <c r="P74" i="16"/>
  <c r="Q52" i="15"/>
  <c r="Q53" i="15"/>
  <c r="P93" i="16"/>
  <c r="AC36" i="1"/>
  <c r="AC52" i="15"/>
  <c r="Q47" i="14"/>
  <c r="J38" i="16"/>
  <c r="K38" i="16"/>
  <c r="D38" i="16"/>
  <c r="AE61" i="15"/>
  <c r="AF60" i="15" s="1"/>
  <c r="AD58" i="15"/>
  <c r="AD59" i="15"/>
  <c r="AD36" i="1"/>
  <c r="A51" i="15"/>
  <c r="A46" i="14"/>
  <c r="A35" i="1"/>
  <c r="Y49" i="1" l="1"/>
  <c r="O43" i="17"/>
  <c r="P61" i="16"/>
  <c r="K49" i="17"/>
  <c r="P41" i="19"/>
  <c r="L38" i="19"/>
  <c r="L43" i="16"/>
  <c r="X65" i="15"/>
  <c r="L33" i="19"/>
  <c r="P59" i="16"/>
  <c r="K48" i="17"/>
  <c r="K57" i="17"/>
  <c r="P33" i="19"/>
  <c r="P31" i="19"/>
  <c r="L41" i="19"/>
  <c r="G41" i="19"/>
  <c r="G84" i="16"/>
  <c r="F57" i="17"/>
  <c r="F52" i="17"/>
  <c r="K52" i="17"/>
  <c r="G76" i="16"/>
  <c r="P35" i="19"/>
  <c r="K46" i="17"/>
  <c r="K50" i="17"/>
  <c r="K26" i="17"/>
  <c r="O40" i="17"/>
  <c r="L19" i="19"/>
  <c r="K58" i="17"/>
  <c r="P52" i="16"/>
  <c r="K54" i="17"/>
  <c r="K56" i="17"/>
  <c r="O46" i="17"/>
  <c r="L65" i="16"/>
  <c r="L89" i="16" s="1"/>
  <c r="F48" i="17"/>
  <c r="F53" i="17"/>
  <c r="Y60" i="15"/>
  <c r="L39" i="19"/>
  <c r="H19" i="19"/>
  <c r="O52" i="17"/>
  <c r="O39" i="17"/>
  <c r="O48" i="17"/>
  <c r="O41" i="17"/>
  <c r="K27" i="17"/>
  <c r="O53" i="17"/>
  <c r="L44" i="16"/>
  <c r="L42" i="19"/>
  <c r="P39" i="19"/>
  <c r="P43" i="19"/>
  <c r="O42" i="17"/>
  <c r="L43" i="19"/>
  <c r="P38" i="19"/>
  <c r="P53" i="16"/>
  <c r="P44" i="19"/>
  <c r="P44" i="16"/>
  <c r="O27" i="17"/>
  <c r="P17" i="19"/>
  <c r="P24" i="19" s="1"/>
  <c r="P38" i="16"/>
  <c r="P45" i="16" s="1"/>
  <c r="P43" i="16"/>
  <c r="P23" i="19"/>
  <c r="O29" i="17"/>
  <c r="P22" i="19"/>
  <c r="O24" i="17"/>
  <c r="O31" i="17" s="1"/>
  <c r="P34" i="19"/>
  <c r="O30" i="17"/>
  <c r="K24" i="17"/>
  <c r="K31" i="17" s="1"/>
  <c r="P37" i="19"/>
  <c r="L40" i="19"/>
  <c r="K29" i="17"/>
  <c r="L4" i="17"/>
  <c r="K30" i="17"/>
  <c r="P32" i="19"/>
  <c r="L22" i="19"/>
  <c r="L17" i="19"/>
  <c r="L24" i="19" s="1"/>
  <c r="L23" i="19"/>
  <c r="Q89" i="16"/>
  <c r="AD57" i="14"/>
  <c r="K55" i="17"/>
  <c r="P61" i="17"/>
  <c r="P89" i="16"/>
  <c r="F24" i="17"/>
  <c r="K53" i="17"/>
  <c r="L34" i="19"/>
  <c r="G40" i="19"/>
  <c r="I44" i="16"/>
  <c r="F49" i="17"/>
  <c r="G29" i="17"/>
  <c r="G35" i="19"/>
  <c r="K47" i="17"/>
  <c r="I38" i="16"/>
  <c r="I45" i="16" s="1"/>
  <c r="M63" i="16"/>
  <c r="L63" i="16"/>
  <c r="L90" i="16" s="1"/>
  <c r="H40" i="16"/>
  <c r="F38" i="16"/>
  <c r="F45" i="16" s="1"/>
  <c r="G42" i="19"/>
  <c r="G67" i="16"/>
  <c r="H17" i="19"/>
  <c r="H24" i="19" s="1"/>
  <c r="H23" i="19"/>
  <c r="H43" i="16"/>
  <c r="G30" i="17"/>
  <c r="E30" i="17"/>
  <c r="L35" i="19"/>
  <c r="F47" i="17"/>
  <c r="G17" i="19"/>
  <c r="F17" i="19"/>
  <c r="F24" i="19" s="1"/>
  <c r="L44" i="19"/>
  <c r="H22" i="19"/>
  <c r="F44" i="16"/>
  <c r="H44" i="16"/>
  <c r="H38" i="16"/>
  <c r="H45" i="16" s="1"/>
  <c r="E24" i="17"/>
  <c r="E31" i="17" s="1"/>
  <c r="F23" i="19"/>
  <c r="G38" i="16"/>
  <c r="G24" i="17"/>
  <c r="G31" i="17" s="1"/>
  <c r="L62" i="17"/>
  <c r="L61" i="17"/>
  <c r="M47" i="19"/>
  <c r="Q31" i="19"/>
  <c r="M23" i="19"/>
  <c r="Q26" i="19" s="1"/>
  <c r="I19" i="19"/>
  <c r="I23" i="19"/>
  <c r="M26" i="19" s="1"/>
  <c r="Q47" i="19"/>
  <c r="M89" i="16"/>
  <c r="H96" i="16"/>
  <c r="L96" i="16"/>
  <c r="I17" i="19"/>
  <c r="I24" i="19" s="1"/>
  <c r="M33" i="19"/>
  <c r="M19" i="19"/>
  <c r="M17" i="19"/>
  <c r="M24" i="19" s="1"/>
  <c r="O68" i="17"/>
  <c r="L63" i="17"/>
  <c r="H24" i="17"/>
  <c r="H31" i="17" s="1"/>
  <c r="L40" i="16"/>
  <c r="L38" i="16"/>
  <c r="L45" i="16" s="1"/>
  <c r="P96" i="16"/>
  <c r="AF55" i="14"/>
  <c r="AF56" i="14"/>
  <c r="AF54" i="14"/>
  <c r="AF53" i="14"/>
  <c r="AK4" i="1"/>
  <c r="AK5" i="1" s="1"/>
  <c r="M5" i="16"/>
  <c r="P54" i="16"/>
  <c r="M62" i="16"/>
  <c r="F89" i="16"/>
  <c r="Q36" i="1"/>
  <c r="AF58" i="15"/>
  <c r="AD61" i="15"/>
  <c r="AF59" i="15"/>
  <c r="L47" i="16" l="1"/>
  <c r="G90" i="16"/>
  <c r="K34" i="17"/>
  <c r="F61" i="17"/>
  <c r="P27" i="19"/>
  <c r="L26" i="19"/>
  <c r="O62" i="17"/>
  <c r="P47" i="16"/>
  <c r="P91" i="16"/>
  <c r="O61" i="17"/>
  <c r="P26" i="19"/>
  <c r="L27" i="19"/>
  <c r="O63" i="17"/>
  <c r="O34" i="17"/>
  <c r="O33" i="17"/>
  <c r="P90" i="16"/>
  <c r="P47" i="19"/>
  <c r="P49" i="19"/>
  <c r="L30" i="17"/>
  <c r="P33" i="17" s="1"/>
  <c r="P39" i="17"/>
  <c r="L26" i="17"/>
  <c r="K33" i="17"/>
  <c r="P48" i="19"/>
  <c r="K62" i="17"/>
  <c r="L24" i="17"/>
  <c r="M44" i="16"/>
  <c r="Q47" i="16" s="1"/>
  <c r="L91" i="16"/>
  <c r="K61" i="17"/>
  <c r="G49" i="19"/>
  <c r="K63" i="17"/>
  <c r="G47" i="19"/>
  <c r="G91" i="16"/>
  <c r="L47" i="19"/>
  <c r="G89" i="16"/>
  <c r="G48" i="19"/>
  <c r="H48" i="16"/>
  <c r="M90" i="16"/>
  <c r="F62" i="17"/>
  <c r="H26" i="19"/>
  <c r="L48" i="19"/>
  <c r="H27" i="19"/>
  <c r="L49" i="19"/>
  <c r="F63" i="17"/>
  <c r="L48" i="16"/>
  <c r="H47" i="16"/>
  <c r="F34" i="17"/>
  <c r="M27" i="19"/>
  <c r="Q48" i="19"/>
  <c r="Q49" i="19"/>
  <c r="M48" i="19"/>
  <c r="M49" i="19"/>
  <c r="Q27" i="19"/>
  <c r="M91" i="16"/>
  <c r="M47" i="16"/>
  <c r="P48" i="16"/>
  <c r="F33" i="17"/>
  <c r="L33" i="17"/>
  <c r="M40" i="16"/>
  <c r="M38" i="16"/>
  <c r="M45" i="16" s="1"/>
  <c r="AF57" i="14"/>
  <c r="Q54" i="16"/>
  <c r="AF61" i="15"/>
  <c r="Q91" i="16" l="1"/>
  <c r="Q90" i="16"/>
  <c r="L31" i="17"/>
  <c r="L34" i="17" s="1"/>
  <c r="P62" i="17"/>
  <c r="P63" i="17"/>
  <c r="M48" i="16"/>
  <c r="Q48" i="16"/>
  <c r="P3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tc={EFA46B58-D1E9-4130-B1F8-D65080662AAE}</author>
    <author>tc={BFB94823-B1B6-4410-BA76-F61EA886EB65}</author>
    <author>tc={039883D6-0393-42E5-A86B-9624767B434C}</author>
    <author>tc={12D759B9-99AA-42E5-A70E-864948E62F60}</author>
  </authors>
  <commentList>
    <comment ref="B47" authorId="0" shapeId="0" xr:uid="{EFA46B58-D1E9-4130-B1F8-D65080662A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BUDGETAIRE moyenne selon valeur de la prime = moyenne pondérée (moyenne des primes)</t>
      </text>
    </comment>
    <comment ref="L47" authorId="1" shapeId="0" xr:uid="{BFB94823-B1B6-4410-BA76-F61EA886EB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7,95&gt;7,76 c’est l’impact du sinistre</t>
      </text>
    </comment>
    <comment ref="B48" authorId="2" shapeId="0" xr:uid="{039883D6-0393-42E5-A86B-9624767B43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Impact des nouveaux véhicules</t>
      </text>
    </comment>
    <comment ref="G51" authorId="3" shapeId="0" xr:uid="{12D759B9-99AA-42E5-A70E-864948E62F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TARIFAIRE moyenne par véhicule (1 pour 1) = moyenne arithmétique (moyenne des taux)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tc={C7FFA3F6-010A-44B4-AD71-E4B2523F6AF5}</author>
    <author>tc={005C5817-1A16-4162-A289-E704837D72DC}</author>
    <author>tc={5A291723-692D-4BC1-B61F-A9EDE2B69047}</author>
    <author>tc={194CC893-C766-4646-8BA9-897EFC344484}</author>
  </authors>
  <commentList>
    <comment ref="B26" authorId="0" shapeId="0" xr:uid="{C7FFA3F6-010A-44B4-AD71-E4B2523F6A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BUDGETAIRE moyenne selon valeur de la prime = moyenne pondérée (moyenne des primes)</t>
      </text>
    </comment>
    <comment ref="L26" authorId="1" shapeId="0" xr:uid="{005C5817-1A16-4162-A289-E704837D72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7,95&gt;7,76 c’est l’impact du sinistre</t>
      </text>
    </comment>
    <comment ref="B27" authorId="2" shapeId="0" xr:uid="{5A291723-692D-4BC1-B61F-A9EDE2B690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Impact des nouveaux véhicules</t>
      </text>
    </comment>
    <comment ref="G30" authorId="3" shapeId="0" xr:uid="{194CC893-C766-4646-8BA9-897EFC3444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TARIFAIRE moyenne par véhicule (1 pour 1) = moyenne arithmétique (moyenne des taux)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tc={459BB50A-1FFB-43CB-B264-FBE2010C70C9}</author>
    <author>tc={959B2CA5-B493-4C7E-8449-DF0887115196}</author>
    <author>tc={93C1D2C4-58B4-4C66-9F3D-EF3367566CDC}</author>
    <author>tc={D7EB2A13-D4DA-4D60-A7D7-E0C712150220}</author>
  </authors>
  <commentList>
    <comment ref="B33" authorId="0" shapeId="0" xr:uid="{459BB50A-1FFB-43CB-B264-FBE2010C70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BUDGETAIRE moyenne selon valeur de la prime = moyenne pondérée (moyenne des primes)</t>
      </text>
    </comment>
    <comment ref="K33" authorId="1" shapeId="0" xr:uid="{959B2CA5-B493-4C7E-8449-DF08871151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7,95&gt;7,76 c’est l’impact du sinistre</t>
      </text>
    </comment>
    <comment ref="B34" authorId="2" shapeId="0" xr:uid="{93C1D2C4-58B4-4C66-9F3D-EF3367566C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Impact des nouveaux véhicules</t>
      </text>
    </comment>
    <comment ref="F37" authorId="3" shapeId="0" xr:uid="{D7EB2A13-D4DA-4D60-A7D7-E0C7121502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TARIFAIRE moyenne par véhicule (1 pour 1) = moyenne arithmétique (moyenne des taux)</t>
      </text>
    </comment>
  </commentList>
</comments>
</file>

<file path=xl/sharedStrings.xml><?xml version="1.0" encoding="utf-8"?>
<sst xmlns="http://schemas.openxmlformats.org/spreadsheetml/2006/main" count="1672" uniqueCount="172">
  <si>
    <t>2 MOIS</t>
  </si>
  <si>
    <t>Résiliation</t>
  </si>
  <si>
    <t>Préavis</t>
  </si>
  <si>
    <t>Renouvellement</t>
  </si>
  <si>
    <t>Date de souscription</t>
  </si>
  <si>
    <t>Souscripteur</t>
  </si>
  <si>
    <t>N° Contrat</t>
  </si>
  <si>
    <t>Courtier</t>
  </si>
  <si>
    <t>Assureur</t>
  </si>
  <si>
    <t>Sinistralité</t>
  </si>
  <si>
    <t>-</t>
  </si>
  <si>
    <t>Périodicité</t>
  </si>
  <si>
    <t>Annuelle</t>
  </si>
  <si>
    <t>Primes TTC</t>
  </si>
  <si>
    <t>Date</t>
  </si>
  <si>
    <t>Assurés</t>
  </si>
  <si>
    <t>NEANT</t>
  </si>
  <si>
    <t>FM-682-JX</t>
  </si>
  <si>
    <t>Conducteur</t>
  </si>
  <si>
    <t>Immatriculation</t>
  </si>
  <si>
    <t>FJ-446-CM</t>
  </si>
  <si>
    <t>33 111,90 € pour 2025</t>
  </si>
  <si>
    <t>Mémo Carte Verte</t>
  </si>
  <si>
    <t>29 969,40 € au total pour 2026</t>
  </si>
  <si>
    <t>Coût</t>
  </si>
  <si>
    <t>Coef BM</t>
  </si>
  <si>
    <t>Coef B/M</t>
  </si>
  <si>
    <t>Type</t>
  </si>
  <si>
    <t>R</t>
  </si>
  <si>
    <t>ACC</t>
  </si>
  <si>
    <t>BDG</t>
  </si>
  <si>
    <t>COLL</t>
  </si>
  <si>
    <t>CLIM</t>
  </si>
  <si>
    <t>SOUS TOTAL</t>
  </si>
  <si>
    <t>COUT ASSURE</t>
  </si>
  <si>
    <t>Nb de sinistre</t>
  </si>
  <si>
    <t>%</t>
  </si>
  <si>
    <t>Franchise</t>
  </si>
  <si>
    <t>COUT SINISTRES</t>
  </si>
  <si>
    <t>COUT ASSUREUR</t>
  </si>
  <si>
    <t>DELTA</t>
  </si>
  <si>
    <t>Propriétaire</t>
  </si>
  <si>
    <t>Leasing</t>
  </si>
  <si>
    <t>Début</t>
  </si>
  <si>
    <t>Fin</t>
  </si>
  <si>
    <t>Modèle</t>
  </si>
  <si>
    <t>PEUGEOT 108 3CV
VTI</t>
  </si>
  <si>
    <t>PEUGEOT 208 5CV
PURETECH 110 G</t>
  </si>
  <si>
    <t>PEUGEOT 208 5CV PURETECH 110 AL</t>
  </si>
  <si>
    <t>PEUGEOT 308 SW PURETECH 110</t>
  </si>
  <si>
    <t>PEUGEOT 308 6CV PURETECH 110 AL</t>
  </si>
  <si>
    <t>PEUGEOT 308 6 CV PURETECH ACT</t>
  </si>
  <si>
    <t>PEUGEOT 308 SW 7CV HYB.136 GT</t>
  </si>
  <si>
    <t>PEUGEOT 208 5CV PURETECH 100 ALL</t>
  </si>
  <si>
    <t>PEUGEOT 308 SW 6CV E-THP 110 ACT</t>
  </si>
  <si>
    <t>PEUGEOT 3008 7CV PURETECH 130 S</t>
  </si>
  <si>
    <t>PEUGEOT 208 5CV PURTECH 100 ALL</t>
  </si>
  <si>
    <t>PEUGEOT 5008 7CV PURETECH 130A</t>
  </si>
  <si>
    <t>PEUGEOT 208 5CV PURETECH 100 ACT</t>
  </si>
  <si>
    <t>BMW X3 10CV 20i XD 184</t>
  </si>
  <si>
    <t>TOYOTA YARIS III 3CV 100H</t>
  </si>
  <si>
    <t>PEUGEOT 2008 5 CV PURETECH 100 ALL</t>
  </si>
  <si>
    <t>PEUGEOT e208 4CV ELECTRIQUE ACTIVE PA</t>
  </si>
  <si>
    <t>PEUGEOT 308 7CV HYBRID 136 ACTIV</t>
  </si>
  <si>
    <t>Av.2024</t>
  </si>
  <si>
    <t>Primes  hors B/M</t>
  </si>
  <si>
    <t>Primes avec B/M</t>
  </si>
  <si>
    <t>Primes annuelles N-X</t>
  </si>
  <si>
    <t>Primes annuelles N</t>
  </si>
  <si>
    <t>Primes hors BM</t>
  </si>
  <si>
    <t>Primes réglées avec BM</t>
  </si>
  <si>
    <t>Primes contrats TTC</t>
  </si>
  <si>
    <t>Nombre sinistres</t>
  </si>
  <si>
    <t>ACC / BDG</t>
  </si>
  <si>
    <t>BDG/COLL</t>
  </si>
  <si>
    <t>ACC. RESPONSABLE</t>
  </si>
  <si>
    <t>COLL ?</t>
  </si>
  <si>
    <t>ACC/BDG</t>
  </si>
  <si>
    <t>Variation primes N (%)</t>
  </si>
  <si>
    <t>Variation hors B/M (%)</t>
  </si>
  <si>
    <t>Varations B/M (%)</t>
  </si>
  <si>
    <t>Ratio %</t>
  </si>
  <si>
    <t>VOITURE DE FONCTION</t>
  </si>
  <si>
    <t>VOITURE DE SERVICE</t>
  </si>
  <si>
    <t>SINISTRES</t>
  </si>
  <si>
    <t>PRIMES</t>
  </si>
  <si>
    <t>VOITURES FONCTION</t>
  </si>
  <si>
    <t>VOITURES SERVICE</t>
  </si>
  <si>
    <t>PRIME MOYENNE ENSEMBLE</t>
  </si>
  <si>
    <t>ENTREE VEHICULES</t>
  </si>
  <si>
    <t>SORTIES VEHICULES</t>
  </si>
  <si>
    <t>TOTAL ANNEE</t>
  </si>
  <si>
    <t>TOTAL REFERENCE</t>
  </si>
  <si>
    <t>PRIME MOYENNE VH.REF (N)</t>
  </si>
  <si>
    <t>PRIME MOYENNE VH.REF (N+1)</t>
  </si>
  <si>
    <t>BUDGET</t>
  </si>
  <si>
    <t>PARC</t>
  </si>
  <si>
    <t>CROISSANCE (%)</t>
  </si>
  <si>
    <t>TOTAL SINISTRE</t>
  </si>
  <si>
    <t>TARIFS</t>
  </si>
  <si>
    <t>H.MOYENNE CONSTANTE</t>
  </si>
  <si>
    <t>H.MOYENNE GENERALE</t>
  </si>
  <si>
    <t>H.MOYENNE CONSTANTE N</t>
  </si>
  <si>
    <t>H.MOYENNE CONSTANTE N+1</t>
  </si>
  <si>
    <t>RATIO S/P</t>
  </si>
  <si>
    <t>Autres*</t>
  </si>
  <si>
    <t>Nombre</t>
  </si>
  <si>
    <t>*Coût des réparations non déclarées, prévention, formation, TVA, frais de gestion...</t>
  </si>
  <si>
    <t>RATIO TCOR**</t>
  </si>
  <si>
    <t>**Coût des primes, coûts des sinistres (franchises, sinistres non déclarés...), coût de gestion</t>
  </si>
  <si>
    <t>Franchises</t>
  </si>
  <si>
    <t>IMPACT BUDGETAIRE</t>
  </si>
  <si>
    <t>IMPACT TARIFAIRE</t>
  </si>
  <si>
    <t>INDEMNITES</t>
  </si>
  <si>
    <t>CHARGES</t>
  </si>
  <si>
    <t>P1</t>
  </si>
  <si>
    <t>P2</t>
  </si>
  <si>
    <t>P3</t>
  </si>
  <si>
    <t>A1</t>
  </si>
  <si>
    <t>I97</t>
  </si>
  <si>
    <t>I96</t>
  </si>
  <si>
    <t>I95</t>
  </si>
  <si>
    <t>I94</t>
  </si>
  <si>
    <t>I93</t>
  </si>
  <si>
    <t>I92</t>
  </si>
  <si>
    <t>I91</t>
  </si>
  <si>
    <t>I90</t>
  </si>
  <si>
    <t>I89</t>
  </si>
  <si>
    <t>I88</t>
  </si>
  <si>
    <t>I87</t>
  </si>
  <si>
    <t>I86</t>
  </si>
  <si>
    <t>I85</t>
  </si>
  <si>
    <t>I83</t>
  </si>
  <si>
    <t>I82</t>
  </si>
  <si>
    <t>I81</t>
  </si>
  <si>
    <t>I80</t>
  </si>
  <si>
    <t>I79</t>
  </si>
  <si>
    <t>I78</t>
  </si>
  <si>
    <t>I77</t>
  </si>
  <si>
    <t>I75</t>
  </si>
  <si>
    <t>I74</t>
  </si>
  <si>
    <t>I72</t>
  </si>
  <si>
    <t>I71</t>
  </si>
  <si>
    <t>I70</t>
  </si>
  <si>
    <t>I69</t>
  </si>
  <si>
    <t>I68</t>
  </si>
  <si>
    <t>I65</t>
  </si>
  <si>
    <t>I63</t>
  </si>
  <si>
    <t>C96</t>
  </si>
  <si>
    <t>C89</t>
  </si>
  <si>
    <t>C87</t>
  </si>
  <si>
    <t>C86</t>
  </si>
  <si>
    <t>C85</t>
  </si>
  <si>
    <t>C83</t>
  </si>
  <si>
    <t>C81</t>
  </si>
  <si>
    <t>C80</t>
  </si>
  <si>
    <t>C79</t>
  </si>
  <si>
    <t>C78</t>
  </si>
  <si>
    <t>C70</t>
  </si>
  <si>
    <t>C65</t>
  </si>
  <si>
    <t>C63</t>
  </si>
  <si>
    <t>S1</t>
  </si>
  <si>
    <t>I84</t>
  </si>
  <si>
    <t>I64</t>
  </si>
  <si>
    <t>I62</t>
  </si>
  <si>
    <t>I61</t>
  </si>
  <si>
    <t>I59</t>
  </si>
  <si>
    <t>I56</t>
  </si>
  <si>
    <t>R1</t>
  </si>
  <si>
    <t>C84</t>
  </si>
  <si>
    <t>I76</t>
  </si>
  <si>
    <t>C76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</si>
</sst>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#,##0.00\ &quot;€&quot;;\-#,##0.00\ &quot;€&quot;"/>
    <numFmt numFmtId="164" formatCode="#,##0.00\ &quot;€&quot;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i/>
      <sz val="12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  <font>
      <sz val="11"/>
      <color theme="2" tint="-9.9978637043366805E-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Calibri"/>
      <family val="2"/>
    </font>
    <font>
      <i/>
      <sz val="11"/>
      <name val="Calibri"/>
      <family val="2"/>
    </font>
    <font>
      <sz val="11"/>
      <color theme="9"/>
      <name val="Calibri"/>
      <family val="2"/>
    </font>
    <font>
      <i/>
      <sz val="11"/>
      <color theme="4"/>
      <name val="Calibri"/>
      <family val="2"/>
    </font>
    <font>
      <sz val="11"/>
      <name val="Aptos Narrow"/>
      <family val="2"/>
      <scheme val="minor"/>
    </font>
    <font>
      <b/>
      <sz val="16"/>
      <color theme="1"/>
      <name val="Calibri"/>
      <family val="2"/>
    </font>
    <font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89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3" borderId="20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4" borderId="26" xfId="0" applyNumberFormat="1" applyFont="1" applyFill="1" applyBorder="1" applyAlignment="1">
      <alignment horizontal="center" vertical="center"/>
    </xf>
    <xf numFmtId="164" fontId="1" fillId="4" borderId="27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4" borderId="30" xfId="0" applyNumberFormat="1" applyFont="1" applyFill="1" applyBorder="1" applyAlignment="1">
      <alignment horizontal="center" vertical="center"/>
    </xf>
    <xf numFmtId="164" fontId="1" fillId="4" borderId="31" xfId="0" applyNumberFormat="1" applyFont="1" applyFill="1" applyBorder="1" applyAlignment="1">
      <alignment horizontal="center" vertical="center"/>
    </xf>
    <xf numFmtId="164" fontId="1" fillId="4" borderId="32" xfId="0" applyNumberFormat="1" applyFont="1" applyFill="1" applyBorder="1" applyAlignment="1">
      <alignment horizontal="center" vertical="center"/>
    </xf>
    <xf numFmtId="164" fontId="1" fillId="4" borderId="33" xfId="0" applyNumberFormat="1" applyFont="1" applyFill="1" applyBorder="1" applyAlignment="1">
      <alignment horizontal="center" vertical="center"/>
    </xf>
    <xf numFmtId="164" fontId="1" fillId="4" borderId="34" xfId="0" applyNumberFormat="1" applyFont="1" applyFill="1" applyBorder="1" applyAlignment="1">
      <alignment horizontal="center" vertical="center"/>
    </xf>
    <xf numFmtId="164" fontId="1" fillId="4" borderId="35" xfId="0" applyNumberFormat="1" applyFont="1" applyFill="1" applyBorder="1" applyAlignment="1">
      <alignment horizontal="center" vertical="center"/>
    </xf>
    <xf numFmtId="164" fontId="1" fillId="4" borderId="36" xfId="0" applyNumberFormat="1" applyFont="1" applyFill="1" applyBorder="1" applyAlignment="1">
      <alignment horizontal="center" vertical="center"/>
    </xf>
    <xf numFmtId="164" fontId="1" fillId="4" borderId="42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7" fontId="1" fillId="0" borderId="1" xfId="0" applyNumberFormat="1" applyFont="1" applyBorder="1" applyAlignment="1">
      <alignment horizontal="center" vertical="center"/>
    </xf>
    <xf numFmtId="7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7" fontId="2" fillId="6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14" fontId="1" fillId="3" borderId="12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14" fontId="1" fillId="0" borderId="37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4" fontId="1" fillId="0" borderId="15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16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wrapText="1"/>
    </xf>
    <xf numFmtId="7" fontId="13" fillId="0" borderId="1" xfId="0" applyNumberFormat="1" applyFont="1" applyBorder="1" applyAlignment="1">
      <alignment horizontal="center" vertical="center"/>
    </xf>
    <xf numFmtId="14" fontId="13" fillId="0" borderId="12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4" fontId="13" fillId="0" borderId="19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4" fontId="13" fillId="0" borderId="15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vertical="center"/>
    </xf>
    <xf numFmtId="14" fontId="1" fillId="6" borderId="1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/>
    </xf>
    <xf numFmtId="7" fontId="1" fillId="0" borderId="2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4" fontId="2" fillId="3" borderId="12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14" fontId="1" fillId="0" borderId="28" xfId="0" applyNumberFormat="1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4" fontId="6" fillId="3" borderId="24" xfId="0" applyNumberFormat="1" applyFont="1" applyFill="1" applyBorder="1" applyAlignment="1">
      <alignment horizontal="center" vertical="center" wrapText="1"/>
    </xf>
    <xf numFmtId="14" fontId="2" fillId="3" borderId="37" xfId="0" applyNumberFormat="1" applyFont="1" applyFill="1" applyBorder="1" applyAlignment="1">
      <alignment horizontal="center" vertical="center" wrapText="1"/>
    </xf>
    <xf numFmtId="14" fontId="2" fillId="3" borderId="24" xfId="0" applyNumberFormat="1" applyFont="1" applyFill="1" applyBorder="1" applyAlignment="1">
      <alignment horizontal="center" vertical="center" wrapText="1"/>
    </xf>
    <xf numFmtId="14" fontId="6" fillId="0" borderId="28" xfId="0" applyNumberFormat="1" applyFont="1" applyBorder="1" applyAlignment="1">
      <alignment horizontal="center" vertical="center" wrapText="1"/>
    </xf>
    <xf numFmtId="14" fontId="6" fillId="0" borderId="19" xfId="0" applyNumberFormat="1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14" fontId="2" fillId="3" borderId="15" xfId="0" applyNumberFormat="1" applyFont="1" applyFill="1" applyBorder="1" applyAlignment="1">
      <alignment horizontal="center" vertical="center"/>
    </xf>
    <xf numFmtId="14" fontId="2" fillId="3" borderId="19" xfId="0" applyNumberFormat="1" applyFont="1" applyFill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1" fillId="0" borderId="44" xfId="0" applyNumberFormat="1" applyFont="1" applyBorder="1" applyAlignment="1">
      <alignment horizontal="center" vertical="center"/>
    </xf>
    <xf numFmtId="7" fontId="1" fillId="3" borderId="3" xfId="0" applyNumberFormat="1" applyFont="1" applyFill="1" applyBorder="1" applyAlignment="1">
      <alignment horizontal="center" vertical="center"/>
    </xf>
    <xf numFmtId="7" fontId="1" fillId="3" borderId="4" xfId="0" applyNumberFormat="1" applyFont="1" applyFill="1" applyBorder="1" applyAlignment="1">
      <alignment horizontal="center" vertical="center"/>
    </xf>
    <xf numFmtId="7" fontId="1" fillId="3" borderId="2" xfId="0" applyNumberFormat="1" applyFont="1" applyFill="1" applyBorder="1" applyAlignment="1">
      <alignment horizontal="center" vertical="center"/>
    </xf>
    <xf numFmtId="7" fontId="17" fillId="0" borderId="0" xfId="0" applyNumberFormat="1" applyFont="1" applyAlignment="1">
      <alignment horizontal="center" vertical="center"/>
    </xf>
    <xf numFmtId="7" fontId="12" fillId="2" borderId="1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0" borderId="45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0" fontId="1" fillId="4" borderId="11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7" fontId="1" fillId="3" borderId="1" xfId="0" applyNumberFormat="1" applyFont="1" applyFill="1" applyBorder="1" applyAlignment="1">
      <alignment horizontal="center" vertical="center"/>
    </xf>
    <xf numFmtId="14" fontId="1" fillId="3" borderId="26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64" fontId="1" fillId="3" borderId="14" xfId="0" applyNumberFormat="1" applyFont="1" applyFill="1" applyBorder="1" applyAlignment="1">
      <alignment horizontal="center" vertical="center" wrapText="1"/>
    </xf>
    <xf numFmtId="164" fontId="1" fillId="3" borderId="15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1" fillId="4" borderId="19" xfId="0" applyNumberFormat="1" applyFont="1" applyFill="1" applyBorder="1" applyAlignment="1">
      <alignment horizontal="center" vertical="center"/>
    </xf>
    <xf numFmtId="164" fontId="1" fillId="4" borderId="20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14" fontId="2" fillId="4" borderId="28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4" fontId="2" fillId="4" borderId="19" xfId="0" applyNumberFormat="1" applyFont="1" applyFill="1" applyBorder="1" applyAlignment="1">
      <alignment horizontal="center" vertical="center"/>
    </xf>
    <xf numFmtId="164" fontId="2" fillId="4" borderId="20" xfId="0" applyNumberFormat="1" applyFont="1" applyFill="1" applyBorder="1" applyAlignment="1">
      <alignment horizontal="center" vertical="center"/>
    </xf>
    <xf numFmtId="14" fontId="2" fillId="4" borderId="15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/>
    </xf>
    <xf numFmtId="14" fontId="2" fillId="4" borderId="37" xfId="0" applyNumberFormat="1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14" fontId="2" fillId="4" borderId="21" xfId="0" applyNumberFormat="1" applyFont="1" applyFill="1" applyBorder="1" applyAlignment="1">
      <alignment horizontal="center" vertical="center"/>
    </xf>
    <xf numFmtId="164" fontId="2" fillId="4" borderId="22" xfId="0" applyNumberFormat="1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4" fontId="6" fillId="4" borderId="24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2" fontId="11" fillId="4" borderId="0" xfId="0" applyNumberFormat="1" applyFont="1" applyFill="1" applyAlignment="1">
      <alignment horizontal="center" vertical="center" wrapText="1"/>
    </xf>
    <xf numFmtId="2" fontId="11" fillId="4" borderId="33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/>
    </xf>
    <xf numFmtId="2" fontId="2" fillId="4" borderId="33" xfId="0" applyNumberFormat="1" applyFont="1" applyFill="1" applyBorder="1" applyAlignment="1">
      <alignment horizontal="center" vertical="center"/>
    </xf>
    <xf numFmtId="2" fontId="2" fillId="4" borderId="42" xfId="0" applyNumberFormat="1" applyFont="1" applyFill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2" fontId="20" fillId="0" borderId="38" xfId="0" applyNumberFormat="1" applyFont="1" applyBorder="1" applyAlignment="1">
      <alignment horizontal="center" vertical="center"/>
    </xf>
    <xf numFmtId="2" fontId="20" fillId="0" borderId="8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4" borderId="0" xfId="0" applyFill="1"/>
    <xf numFmtId="0" fontId="0" fillId="4" borderId="35" xfId="0" applyFill="1" applyBorder="1"/>
    <xf numFmtId="164" fontId="2" fillId="4" borderId="27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10" fontId="1" fillId="8" borderId="4" xfId="0" applyNumberFormat="1" applyFont="1" applyFill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10" fontId="1" fillId="8" borderId="5" xfId="0" applyNumberFormat="1" applyFont="1" applyFill="1" applyBorder="1" applyAlignment="1">
      <alignment horizontal="center" vertical="center"/>
    </xf>
    <xf numFmtId="10" fontId="1" fillId="8" borderId="6" xfId="0" applyNumberFormat="1" applyFont="1" applyFill="1" applyBorder="1" applyAlignment="1">
      <alignment horizontal="center" vertical="center"/>
    </xf>
    <xf numFmtId="10" fontId="1" fillId="8" borderId="46" xfId="0" applyNumberFormat="1" applyFont="1" applyFill="1" applyBorder="1" applyAlignment="1">
      <alignment horizontal="center" vertical="center"/>
    </xf>
    <xf numFmtId="10" fontId="2" fillId="8" borderId="5" xfId="0" applyNumberFormat="1" applyFont="1" applyFill="1" applyBorder="1" applyAlignment="1">
      <alignment horizontal="center" vertical="center"/>
    </xf>
    <xf numFmtId="10" fontId="1" fillId="8" borderId="48" xfId="0" applyNumberFormat="1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164" fontId="1" fillId="8" borderId="26" xfId="0" applyNumberFormat="1" applyFont="1" applyFill="1" applyBorder="1" applyAlignment="1">
      <alignment horizontal="center" vertical="center"/>
    </xf>
    <xf numFmtId="164" fontId="1" fillId="8" borderId="14" xfId="0" applyNumberFormat="1" applyFont="1" applyFill="1" applyBorder="1" applyAlignment="1">
      <alignment horizontal="center" vertical="center"/>
    </xf>
    <xf numFmtId="164" fontId="1" fillId="8" borderId="7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164" fontId="1" fillId="8" borderId="8" xfId="0" applyNumberFormat="1" applyFont="1" applyFill="1" applyBorder="1" applyAlignment="1">
      <alignment horizontal="center" vertical="center"/>
    </xf>
    <xf numFmtId="164" fontId="1" fillId="8" borderId="10" xfId="0" applyNumberFormat="1" applyFont="1" applyFill="1" applyBorder="1" applyAlignment="1">
      <alignment horizontal="center" vertical="center"/>
    </xf>
    <xf numFmtId="164" fontId="1" fillId="8" borderId="30" xfId="0" applyNumberFormat="1" applyFont="1" applyFill="1" applyBorder="1" applyAlignment="1">
      <alignment horizontal="center" vertical="center"/>
    </xf>
    <xf numFmtId="164" fontId="1" fillId="8" borderId="41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164" fontId="1" fillId="8" borderId="32" xfId="0" applyNumberFormat="1" applyFont="1" applyFill="1" applyBorder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164" fontId="1" fillId="8" borderId="13" xfId="0" applyNumberFormat="1" applyFont="1" applyFill="1" applyBorder="1" applyAlignment="1">
      <alignment horizontal="center" vertical="center"/>
    </xf>
    <xf numFmtId="164" fontId="1" fillId="8" borderId="6" xfId="0" applyNumberFormat="1" applyFont="1" applyFill="1" applyBorder="1" applyAlignment="1">
      <alignment horizontal="center" vertical="center"/>
    </xf>
    <xf numFmtId="164" fontId="1" fillId="8" borderId="15" xfId="0" applyNumberFormat="1" applyFont="1" applyFill="1" applyBorder="1" applyAlignment="1">
      <alignment horizontal="center" vertical="center"/>
    </xf>
    <xf numFmtId="164" fontId="1" fillId="8" borderId="34" xfId="0" applyNumberFormat="1" applyFont="1" applyFill="1" applyBorder="1" applyAlignment="1">
      <alignment horizontal="center" vertical="center"/>
    </xf>
    <xf numFmtId="164" fontId="1" fillId="8" borderId="46" xfId="0" applyNumberFormat="1" applyFont="1" applyFill="1" applyBorder="1" applyAlignment="1">
      <alignment horizontal="center" vertical="center"/>
    </xf>
    <xf numFmtId="164" fontId="1" fillId="8" borderId="12" xfId="0" applyNumberFormat="1" applyFont="1" applyFill="1" applyBorder="1" applyAlignment="1">
      <alignment horizontal="center" vertical="center"/>
    </xf>
    <xf numFmtId="164" fontId="2" fillId="8" borderId="26" xfId="0" applyNumberFormat="1" applyFont="1" applyFill="1" applyBorder="1" applyAlignment="1">
      <alignment horizontal="center" vertical="center"/>
    </xf>
    <xf numFmtId="164" fontId="2" fillId="8" borderId="15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1" fillId="8" borderId="47" xfId="0" applyNumberFormat="1" applyFont="1" applyFill="1" applyBorder="1" applyAlignment="1">
      <alignment horizontal="center" vertical="center"/>
    </xf>
    <xf numFmtId="164" fontId="1" fillId="8" borderId="40" xfId="0" applyNumberFormat="1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2" fontId="1" fillId="0" borderId="12" xfId="1" applyNumberFormat="1" applyFont="1" applyBorder="1" applyAlignment="1">
      <alignment horizontal="center" vertical="center"/>
    </xf>
    <xf numFmtId="2" fontId="1" fillId="0" borderId="20" xfId="1" applyNumberFormat="1" applyFont="1" applyBorder="1" applyAlignment="1">
      <alignment horizontal="center" vertical="center"/>
    </xf>
    <xf numFmtId="2" fontId="20" fillId="0" borderId="12" xfId="1" applyNumberFormat="1" applyFont="1" applyBorder="1" applyAlignment="1">
      <alignment horizontal="center" vertical="center"/>
    </xf>
    <xf numFmtId="2" fontId="20" fillId="0" borderId="20" xfId="1" applyNumberFormat="1" applyFont="1" applyBorder="1" applyAlignment="1">
      <alignment horizontal="center" vertical="center"/>
    </xf>
    <xf numFmtId="2" fontId="1" fillId="0" borderId="7" xfId="1" applyNumberFormat="1" applyFont="1" applyBorder="1" applyAlignment="1">
      <alignment horizontal="center" vertical="center"/>
    </xf>
    <xf numFmtId="2" fontId="1" fillId="0" borderId="25" xfId="1" applyNumberFormat="1" applyFont="1" applyBorder="1" applyAlignment="1">
      <alignment horizontal="center" vertical="center"/>
    </xf>
    <xf numFmtId="2" fontId="1" fillId="4" borderId="14" xfId="0" applyNumberFormat="1" applyFont="1" applyFill="1" applyBorder="1" applyAlignment="1">
      <alignment horizontal="center" vertical="center"/>
    </xf>
    <xf numFmtId="2" fontId="1" fillId="4" borderId="27" xfId="0" applyNumberFormat="1" applyFont="1" applyFill="1" applyBorder="1" applyAlignment="1">
      <alignment horizontal="center" vertical="center"/>
    </xf>
    <xf numFmtId="2" fontId="1" fillId="0" borderId="8" xfId="1" applyNumberFormat="1" applyFont="1" applyBorder="1" applyAlignment="1">
      <alignment horizontal="center" vertical="center"/>
    </xf>
    <xf numFmtId="2" fontId="1" fillId="0" borderId="38" xfId="1" applyNumberFormat="1" applyFont="1" applyBorder="1" applyAlignment="1">
      <alignment horizontal="center" vertical="center"/>
    </xf>
    <xf numFmtId="2" fontId="2" fillId="0" borderId="20" xfId="1" applyNumberFormat="1" applyFont="1" applyBorder="1" applyAlignment="1">
      <alignment horizontal="center" vertical="center"/>
    </xf>
    <xf numFmtId="2" fontId="1" fillId="4" borderId="14" xfId="1" applyNumberFormat="1" applyFont="1" applyFill="1" applyBorder="1" applyAlignment="1">
      <alignment horizontal="center" vertical="center"/>
    </xf>
    <xf numFmtId="2" fontId="1" fillId="4" borderId="27" xfId="1" applyNumberFormat="1" applyFont="1" applyFill="1" applyBorder="1" applyAlignment="1">
      <alignment horizontal="center" vertical="center"/>
    </xf>
    <xf numFmtId="2" fontId="20" fillId="0" borderId="38" xfId="1" applyNumberFormat="1" applyFont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2" fontId="1" fillId="4" borderId="31" xfId="0" applyNumberFormat="1" applyFont="1" applyFill="1" applyBorder="1" applyAlignment="1">
      <alignment horizontal="center" vertical="center"/>
    </xf>
    <xf numFmtId="2" fontId="1" fillId="4" borderId="33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/>
    </xf>
    <xf numFmtId="2" fontId="1" fillId="4" borderId="36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2" fontId="20" fillId="0" borderId="8" xfId="1" applyNumberFormat="1" applyFont="1" applyBorder="1" applyAlignment="1">
      <alignment horizontal="center" vertical="center"/>
    </xf>
    <xf numFmtId="2" fontId="2" fillId="4" borderId="13" xfId="0" applyNumberFormat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1" fillId="4" borderId="11" xfId="0" applyNumberFormat="1" applyFont="1" applyFill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2" fontId="17" fillId="0" borderId="1" xfId="0" applyNumberFormat="1" applyFont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13" fillId="4" borderId="13" xfId="0" applyNumberFormat="1" applyFont="1" applyFill="1" applyBorder="1" applyAlignment="1">
      <alignment horizontal="center" vertical="center" wrapText="1"/>
    </xf>
    <xf numFmtId="2" fontId="6" fillId="4" borderId="5" xfId="0" applyNumberFormat="1" applyFont="1" applyFill="1" applyBorder="1" applyAlignment="1">
      <alignment horizontal="center" vertical="center" wrapText="1"/>
    </xf>
    <xf numFmtId="2" fontId="13" fillId="4" borderId="35" xfId="0" applyNumberFormat="1" applyFont="1" applyFill="1" applyBorder="1" applyAlignment="1">
      <alignment horizontal="center" vertical="center" wrapText="1"/>
    </xf>
    <xf numFmtId="164" fontId="2" fillId="4" borderId="25" xfId="0" applyNumberFormat="1" applyFont="1" applyFill="1" applyBorder="1" applyAlignment="1">
      <alignment horizontal="center" vertical="center"/>
    </xf>
    <xf numFmtId="164" fontId="2" fillId="4" borderId="38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164" fontId="2" fillId="4" borderId="11" xfId="0" applyNumberFormat="1" applyFont="1" applyFill="1" applyBorder="1" applyAlignment="1">
      <alignment horizontal="center" vertical="center" wrapText="1"/>
    </xf>
    <xf numFmtId="14" fontId="1" fillId="3" borderId="28" xfId="0" applyNumberFormat="1" applyFont="1" applyFill="1" applyBorder="1" applyAlignment="1">
      <alignment horizontal="center" vertical="center" wrapText="1"/>
    </xf>
    <xf numFmtId="14" fontId="1" fillId="3" borderId="37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38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4" fillId="0" borderId="0" xfId="0" applyFont="1"/>
    <xf numFmtId="164" fontId="1" fillId="4" borderId="9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4" fontId="8" fillId="2" borderId="51" xfId="0" applyNumberFormat="1" applyFont="1" applyFill="1" applyBorder="1" applyAlignment="1">
      <alignment horizontal="center" vertical="center"/>
    </xf>
    <xf numFmtId="164" fontId="8" fillId="2" borderId="49" xfId="0" applyNumberFormat="1" applyFont="1" applyFill="1" applyBorder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1" fillId="4" borderId="31" xfId="0" applyFont="1" applyFill="1" applyBorder="1" applyAlignment="1">
      <alignment horizontal="center" vertical="center" wrapText="1"/>
    </xf>
    <xf numFmtId="10" fontId="1" fillId="4" borderId="33" xfId="0" applyNumberFormat="1" applyFont="1" applyFill="1" applyBorder="1" applyAlignment="1">
      <alignment horizontal="center" vertical="center"/>
    </xf>
    <xf numFmtId="10" fontId="1" fillId="4" borderId="42" xfId="0" applyNumberFormat="1" applyFont="1" applyFill="1" applyBorder="1" applyAlignment="1">
      <alignment horizontal="center" vertical="center"/>
    </xf>
    <xf numFmtId="10" fontId="1" fillId="8" borderId="33" xfId="0" applyNumberFormat="1" applyFont="1" applyFill="1" applyBorder="1" applyAlignment="1">
      <alignment horizontal="center" vertical="center"/>
    </xf>
    <xf numFmtId="10" fontId="1" fillId="8" borderId="0" xfId="0" applyNumberFormat="1" applyFont="1" applyFill="1" applyAlignment="1">
      <alignment horizontal="center" vertical="center"/>
    </xf>
    <xf numFmtId="10" fontId="2" fillId="8" borderId="0" xfId="0" applyNumberFormat="1" applyFont="1" applyFill="1" applyAlignment="1">
      <alignment horizontal="center" vertical="center"/>
    </xf>
    <xf numFmtId="10" fontId="1" fillId="8" borderId="36" xfId="0" applyNumberFormat="1" applyFont="1" applyFill="1" applyBorder="1" applyAlignment="1">
      <alignment horizontal="center" vertical="center"/>
    </xf>
    <xf numFmtId="164" fontId="1" fillId="4" borderId="44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46" xfId="0" applyNumberFormat="1" applyFont="1" applyFill="1" applyBorder="1" applyAlignment="1">
      <alignment horizontal="center" vertical="center"/>
    </xf>
    <xf numFmtId="164" fontId="1" fillId="4" borderId="23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 vertical="center"/>
    </xf>
    <xf numFmtId="164" fontId="8" fillId="2" borderId="44" xfId="0" applyNumberFormat="1" applyFont="1" applyFill="1" applyBorder="1" applyAlignment="1">
      <alignment horizontal="center" vertical="center"/>
    </xf>
    <xf numFmtId="2" fontId="22" fillId="4" borderId="12" xfId="1" applyNumberFormat="1" applyFont="1" applyFill="1" applyBorder="1" applyAlignment="1">
      <alignment horizontal="center" vertical="center"/>
    </xf>
    <xf numFmtId="2" fontId="1" fillId="4" borderId="13" xfId="1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2" fontId="22" fillId="4" borderId="27" xfId="1" applyNumberFormat="1" applyFont="1" applyFill="1" applyBorder="1" applyAlignment="1">
      <alignment horizontal="center" vertical="center"/>
    </xf>
    <xf numFmtId="2" fontId="1" fillId="4" borderId="31" xfId="1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0" fillId="7" borderId="12" xfId="0" applyFont="1" applyFill="1" applyBorder="1" applyAlignment="1">
      <alignment horizontal="center" vertical="center"/>
    </xf>
    <xf numFmtId="10" fontId="2" fillId="8" borderId="33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 textRotation="255"/>
    </xf>
    <xf numFmtId="0" fontId="7" fillId="0" borderId="0" xfId="0" applyFont="1" applyAlignment="1">
      <alignment vertical="center" textRotation="255" shrinkToFit="1"/>
    </xf>
    <xf numFmtId="164" fontId="21" fillId="0" borderId="0" xfId="0" applyNumberFormat="1" applyFont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10" fontId="1" fillId="8" borderId="51" xfId="0" applyNumberFormat="1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2" fontId="20" fillId="0" borderId="22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2" fontId="20" fillId="0" borderId="48" xfId="1" applyNumberFormat="1" applyFont="1" applyBorder="1" applyAlignment="1">
      <alignment horizontal="center" vertical="center"/>
    </xf>
    <xf numFmtId="2" fontId="20" fillId="0" borderId="49" xfId="1" applyNumberFormat="1" applyFont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48" xfId="0" applyNumberFormat="1" applyFont="1" applyFill="1" applyBorder="1" applyAlignment="1">
      <alignment horizontal="center" vertical="center"/>
    </xf>
    <xf numFmtId="2" fontId="2" fillId="4" borderId="49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2" fillId="3" borderId="38" xfId="0" applyNumberFormat="1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2" fontId="20" fillId="3" borderId="38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22" fillId="3" borderId="12" xfId="1" applyNumberFormat="1" applyFont="1" applyFill="1" applyBorder="1" applyAlignment="1">
      <alignment horizontal="center" vertical="center"/>
    </xf>
    <xf numFmtId="2" fontId="22" fillId="3" borderId="20" xfId="1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2" fontId="1" fillId="3" borderId="12" xfId="1" applyNumberFormat="1" applyFont="1" applyFill="1" applyBorder="1" applyAlignment="1">
      <alignment horizontal="center" vertical="center"/>
    </xf>
    <xf numFmtId="2" fontId="1" fillId="3" borderId="20" xfId="1" applyNumberFormat="1" applyFont="1" applyFill="1" applyBorder="1" applyAlignment="1">
      <alignment horizontal="center" vertical="center"/>
    </xf>
    <xf numFmtId="2" fontId="20" fillId="3" borderId="12" xfId="1" applyNumberFormat="1" applyFont="1" applyFill="1" applyBorder="1" applyAlignment="1">
      <alignment horizontal="center" vertical="center"/>
    </xf>
    <xf numFmtId="2" fontId="20" fillId="3" borderId="20" xfId="1" applyNumberFormat="1" applyFont="1" applyFill="1" applyBorder="1" applyAlignment="1">
      <alignment horizontal="center" vertical="center"/>
    </xf>
    <xf numFmtId="2" fontId="20" fillId="4" borderId="8" xfId="0" applyNumberFormat="1" applyFont="1" applyFill="1" applyBorder="1" applyAlignment="1">
      <alignment horizontal="center" vertical="center"/>
    </xf>
    <xf numFmtId="2" fontId="20" fillId="4" borderId="38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2" fontId="1" fillId="4" borderId="12" xfId="1" applyNumberFormat="1" applyFont="1" applyFill="1" applyBorder="1" applyAlignment="1">
      <alignment horizontal="center" vertical="center"/>
    </xf>
    <xf numFmtId="2" fontId="2" fillId="4" borderId="20" xfId="1" applyNumberFormat="1" applyFont="1" applyFill="1" applyBorder="1" applyAlignment="1">
      <alignment horizontal="center" vertical="center"/>
    </xf>
    <xf numFmtId="2" fontId="1" fillId="4" borderId="8" xfId="0" applyNumberFormat="1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2" fontId="1" fillId="4" borderId="7" xfId="1" applyNumberFormat="1" applyFont="1" applyFill="1" applyBorder="1" applyAlignment="1">
      <alignment horizontal="center" vertical="center"/>
    </xf>
    <xf numFmtId="2" fontId="2" fillId="4" borderId="25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21" fillId="6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1" fillId="0" borderId="22" xfId="0" applyNumberFormat="1" applyFont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3" borderId="11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164" fontId="13" fillId="0" borderId="14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164" fontId="1" fillId="3" borderId="12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164" fontId="1" fillId="8" borderId="13" xfId="0" applyNumberFormat="1" applyFont="1" applyFill="1" applyBorder="1" applyAlignment="1">
      <alignment horizontal="center" vertical="center" wrapText="1"/>
    </xf>
    <xf numFmtId="2" fontId="1" fillId="8" borderId="13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2" fontId="1" fillId="8" borderId="0" xfId="0" applyNumberFormat="1" applyFont="1" applyFill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164" fontId="1" fillId="8" borderId="11" xfId="0" applyNumberFormat="1" applyFont="1" applyFill="1" applyBorder="1" applyAlignment="1">
      <alignment horizontal="center" vertical="center" wrapText="1"/>
    </xf>
    <xf numFmtId="2" fontId="1" fillId="8" borderId="11" xfId="0" applyNumberFormat="1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164" fontId="2" fillId="8" borderId="13" xfId="0" applyNumberFormat="1" applyFont="1" applyFill="1" applyBorder="1" applyAlignment="1">
      <alignment horizontal="center" vertical="center" wrapText="1"/>
    </xf>
    <xf numFmtId="2" fontId="2" fillId="8" borderId="13" xfId="0" applyNumberFormat="1" applyFont="1" applyFill="1" applyBorder="1" applyAlignment="1">
      <alignment horizontal="center" vertical="center" wrapText="1"/>
    </xf>
    <xf numFmtId="164" fontId="2" fillId="8" borderId="11" xfId="0" applyNumberFormat="1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164" fontId="1" fillId="8" borderId="14" xfId="0" applyNumberFormat="1" applyFont="1" applyFill="1" applyBorder="1" applyAlignment="1">
      <alignment horizontal="center" vertical="center" wrapText="1"/>
    </xf>
    <xf numFmtId="2" fontId="2" fillId="4" borderId="12" xfId="0" applyNumberFormat="1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center" vertical="center" wrapText="1"/>
    </xf>
    <xf numFmtId="14" fontId="2" fillId="4" borderId="19" xfId="0" applyNumberFormat="1" applyFont="1" applyFill="1" applyBorder="1" applyAlignment="1">
      <alignment horizontal="center" vertical="center" wrapText="1"/>
    </xf>
    <xf numFmtId="0" fontId="1" fillId="8" borderId="30" xfId="0" applyFont="1" applyFill="1" applyBorder="1" applyAlignment="1">
      <alignment horizontal="center" vertical="center" wrapText="1"/>
    </xf>
    <xf numFmtId="0" fontId="1" fillId="8" borderId="41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14" fontId="2" fillId="3" borderId="30" xfId="0" applyNumberFormat="1" applyFont="1" applyFill="1" applyBorder="1" applyAlignment="1">
      <alignment horizontal="center" vertical="center" wrapText="1"/>
    </xf>
    <xf numFmtId="1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2" fontId="2" fillId="3" borderId="13" xfId="0" applyNumberFormat="1" applyFont="1" applyFill="1" applyBorder="1" applyAlignment="1">
      <alignment horizontal="center" vertical="center" wrapText="1"/>
    </xf>
    <xf numFmtId="14" fontId="2" fillId="3" borderId="4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14" fontId="6" fillId="0" borderId="37" xfId="0" applyNumberFormat="1" applyFont="1" applyBorder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2" fontId="2" fillId="3" borderId="12" xfId="0" applyNumberFormat="1" applyFont="1" applyFill="1" applyBorder="1" applyAlignment="1">
      <alignment horizontal="center" vertical="center" wrapText="1"/>
    </xf>
    <xf numFmtId="14" fontId="2" fillId="3" borderId="19" xfId="0" applyNumberFormat="1" applyFont="1" applyFill="1" applyBorder="1" applyAlignment="1">
      <alignment horizontal="center" vertical="center" wrapText="1"/>
    </xf>
    <xf numFmtId="14" fontId="2" fillId="3" borderId="32" xfId="0" applyNumberFormat="1" applyFont="1" applyFill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2" fontId="2" fillId="3" borderId="20" xfId="0" applyNumberFormat="1" applyFont="1" applyFill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 vertical="center" wrapText="1"/>
    </xf>
    <xf numFmtId="2" fontId="1" fillId="0" borderId="25" xfId="0" applyNumberFormat="1" applyFont="1" applyBorder="1" applyAlignment="1">
      <alignment horizontal="center" vertical="center" wrapText="1"/>
    </xf>
    <xf numFmtId="2" fontId="1" fillId="0" borderId="38" xfId="0" applyNumberFormat="1" applyFont="1" applyBorder="1" applyAlignment="1">
      <alignment horizontal="center" vertical="center" wrapText="1"/>
    </xf>
    <xf numFmtId="2" fontId="1" fillId="0" borderId="23" xfId="0" applyNumberFormat="1" applyFont="1" applyBorder="1" applyAlignment="1">
      <alignment horizontal="center" vertical="center" wrapText="1"/>
    </xf>
    <xf numFmtId="2" fontId="6" fillId="3" borderId="25" xfId="0" applyNumberFormat="1" applyFont="1" applyFill="1" applyBorder="1" applyAlignment="1">
      <alignment horizontal="center" vertical="center" wrapText="1"/>
    </xf>
    <xf numFmtId="2" fontId="2" fillId="3" borderId="31" xfId="0" applyNumberFormat="1" applyFont="1" applyFill="1" applyBorder="1" applyAlignment="1">
      <alignment horizontal="center" vertical="center" wrapText="1"/>
    </xf>
    <xf numFmtId="2" fontId="2" fillId="3" borderId="42" xfId="0" applyNumberFormat="1" applyFont="1" applyFill="1" applyBorder="1" applyAlignment="1">
      <alignment horizontal="center" vertical="center" wrapText="1"/>
    </xf>
    <xf numFmtId="2" fontId="2" fillId="3" borderId="38" xfId="0" applyNumberFormat="1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 wrapText="1"/>
    </xf>
    <xf numFmtId="2" fontId="2" fillId="3" borderId="33" xfId="0" applyNumberFormat="1" applyFont="1" applyFill="1" applyBorder="1" applyAlignment="1">
      <alignment horizontal="center" vertical="center" wrapText="1"/>
    </xf>
    <xf numFmtId="2" fontId="1" fillId="8" borderId="33" xfId="0" applyNumberFormat="1" applyFont="1" applyFill="1" applyBorder="1" applyAlignment="1">
      <alignment horizontal="center" vertical="center" wrapText="1"/>
    </xf>
    <xf numFmtId="2" fontId="2" fillId="4" borderId="20" xfId="0" applyNumberFormat="1" applyFont="1" applyFill="1" applyBorder="1" applyAlignment="1">
      <alignment horizontal="center" vertical="center" wrapText="1"/>
    </xf>
    <xf numFmtId="2" fontId="1" fillId="8" borderId="31" xfId="0" applyNumberFormat="1" applyFont="1" applyFill="1" applyBorder="1" applyAlignment="1">
      <alignment horizontal="center" vertical="center" wrapText="1"/>
    </xf>
    <xf numFmtId="2" fontId="1" fillId="8" borderId="42" xfId="0" applyNumberFormat="1" applyFont="1" applyFill="1" applyBorder="1" applyAlignment="1">
      <alignment horizontal="center" vertical="center" wrapText="1"/>
    </xf>
    <xf numFmtId="2" fontId="6" fillId="0" borderId="29" xfId="0" applyNumberFormat="1" applyFont="1" applyBorder="1" applyAlignment="1">
      <alignment horizontal="center" vertical="center" wrapText="1"/>
    </xf>
    <xf numFmtId="2" fontId="1" fillId="8" borderId="27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 wrapText="1"/>
    </xf>
    <xf numFmtId="2" fontId="6" fillId="4" borderId="29" xfId="0" applyNumberFormat="1" applyFont="1" applyFill="1" applyBorder="1" applyAlignment="1">
      <alignment horizontal="center" vertical="center" wrapText="1"/>
    </xf>
    <xf numFmtId="2" fontId="2" fillId="4" borderId="27" xfId="0" applyNumberFormat="1" applyFont="1" applyFill="1" applyBorder="1" applyAlignment="1">
      <alignment horizontal="center" vertical="center" wrapText="1"/>
    </xf>
    <xf numFmtId="2" fontId="1" fillId="0" borderId="29" xfId="0" applyNumberFormat="1" applyFont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33" xfId="0" applyNumberFormat="1" applyFont="1" applyFill="1" applyBorder="1" applyAlignment="1">
      <alignment horizontal="center" vertical="center" wrapText="1"/>
    </xf>
    <xf numFmtId="2" fontId="1" fillId="3" borderId="42" xfId="0" applyNumberFormat="1" applyFont="1" applyFill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center" vertical="center" wrapText="1"/>
    </xf>
    <xf numFmtId="2" fontId="1" fillId="0" borderId="42" xfId="0" applyNumberFormat="1" applyFont="1" applyBorder="1" applyAlignment="1">
      <alignment horizontal="center" vertical="center" wrapText="1"/>
    </xf>
    <xf numFmtId="2" fontId="2" fillId="0" borderId="31" xfId="0" applyNumberFormat="1" applyFont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 wrapText="1"/>
    </xf>
    <xf numFmtId="14" fontId="13" fillId="0" borderId="26" xfId="0" applyNumberFormat="1" applyFont="1" applyBorder="1" applyAlignment="1">
      <alignment horizontal="center" vertical="center" wrapText="1"/>
    </xf>
    <xf numFmtId="2" fontId="13" fillId="0" borderId="27" xfId="0" applyNumberFormat="1" applyFont="1" applyBorder="1" applyAlignment="1">
      <alignment horizontal="center" vertical="center" wrapText="1"/>
    </xf>
    <xf numFmtId="2" fontId="1" fillId="0" borderId="27" xfId="0" applyNumberFormat="1" applyFont="1" applyBorder="1" applyAlignment="1">
      <alignment horizontal="center" vertical="center" wrapText="1"/>
    </xf>
    <xf numFmtId="2" fontId="2" fillId="0" borderId="42" xfId="0" applyNumberFormat="1" applyFont="1" applyBorder="1" applyAlignment="1">
      <alignment horizontal="center" vertical="center" wrapText="1"/>
    </xf>
    <xf numFmtId="14" fontId="1" fillId="8" borderId="32" xfId="0" applyNumberFormat="1" applyFont="1" applyFill="1" applyBorder="1" applyAlignment="1">
      <alignment horizontal="center" vertical="center" wrapText="1"/>
    </xf>
    <xf numFmtId="164" fontId="1" fillId="8" borderId="35" xfId="0" applyNumberFormat="1" applyFont="1" applyFill="1" applyBorder="1" applyAlignment="1">
      <alignment horizontal="center" vertical="center" wrapText="1"/>
    </xf>
    <xf numFmtId="2" fontId="1" fillId="8" borderId="35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6" fillId="0" borderId="33" xfId="0" applyNumberFormat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2" fillId="4" borderId="9" xfId="0" applyNumberFormat="1" applyFont="1" applyFill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16" fontId="2" fillId="4" borderId="3" xfId="0" applyNumberFormat="1" applyFont="1" applyFill="1" applyBorder="1" applyAlignment="1">
      <alignment horizontal="center" vertical="center"/>
    </xf>
    <xf numFmtId="16" fontId="2" fillId="4" borderId="2" xfId="0" applyNumberFormat="1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2" fontId="2" fillId="4" borderId="33" xfId="0" applyNumberFormat="1" applyFont="1" applyFill="1" applyBorder="1" applyAlignment="1">
      <alignment horizontal="center" vertical="center" wrapText="1"/>
    </xf>
    <xf numFmtId="2" fontId="2" fillId="4" borderId="4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2" fontId="2" fillId="4" borderId="31" xfId="0" applyNumberFormat="1" applyFont="1" applyFill="1" applyBorder="1" applyAlignment="1">
      <alignment horizontal="center" vertical="center" wrapText="1"/>
    </xf>
    <xf numFmtId="164" fontId="2" fillId="4" borderId="13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164" fontId="2" fillId="4" borderId="11" xfId="0" applyNumberFormat="1" applyFont="1" applyFill="1" applyBorder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2" fontId="2" fillId="4" borderId="13" xfId="0" applyNumberFormat="1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2" fillId="4" borderId="24" xfId="0" applyNumberFormat="1" applyFont="1" applyFill="1" applyBorder="1" applyAlignment="1">
      <alignment horizontal="center" vertical="center"/>
    </xf>
    <xf numFmtId="14" fontId="2" fillId="4" borderId="37" xfId="0" applyNumberFormat="1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14" fontId="2" fillId="4" borderId="9" xfId="0" applyNumberFormat="1" applyFont="1" applyFill="1" applyBorder="1" applyAlignment="1">
      <alignment horizontal="center" vertical="center" wrapText="1"/>
    </xf>
    <xf numFmtId="14" fontId="2" fillId="4" borderId="10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164" fontId="13" fillId="4" borderId="13" xfId="0" applyNumberFormat="1" applyFont="1" applyFill="1" applyBorder="1" applyAlignment="1">
      <alignment horizontal="center" vertical="center" wrapText="1"/>
    </xf>
    <xf numFmtId="164" fontId="13" fillId="4" borderId="35" xfId="0" applyNumberFormat="1" applyFont="1" applyFill="1" applyBorder="1" applyAlignment="1">
      <alignment horizontal="center" vertical="center" wrapText="1"/>
    </xf>
    <xf numFmtId="2" fontId="2" fillId="4" borderId="36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/>
    </xf>
    <xf numFmtId="16" fontId="2" fillId="4" borderId="4" xfId="0" applyNumberFormat="1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14" fontId="2" fillId="4" borderId="30" xfId="0" applyNumberFormat="1" applyFont="1" applyFill="1" applyBorder="1" applyAlignment="1">
      <alignment horizontal="center" vertical="center" wrapText="1"/>
    </xf>
    <xf numFmtId="14" fontId="2" fillId="4" borderId="32" xfId="0" applyNumberFormat="1" applyFont="1" applyFill="1" applyBorder="1" applyAlignment="1">
      <alignment horizontal="center" vertical="center" wrapText="1"/>
    </xf>
    <xf numFmtId="14" fontId="1" fillId="4" borderId="30" xfId="0" applyNumberFormat="1" applyFont="1" applyFill="1" applyBorder="1" applyAlignment="1">
      <alignment horizontal="center" vertical="center" wrapText="1"/>
    </xf>
    <xf numFmtId="14" fontId="1" fillId="4" borderId="41" xfId="0" applyNumberFormat="1" applyFont="1" applyFill="1" applyBorder="1" applyAlignment="1">
      <alignment horizontal="center" vertical="center" wrapText="1"/>
    </xf>
    <xf numFmtId="14" fontId="1" fillId="4" borderId="13" xfId="0" applyNumberFormat="1" applyFont="1" applyFill="1" applyBorder="1" applyAlignment="1">
      <alignment horizontal="center" vertical="center" wrapText="1"/>
    </xf>
    <xf numFmtId="14" fontId="1" fillId="4" borderId="11" xfId="0" applyNumberFormat="1" applyFont="1" applyFill="1" applyBorder="1" applyAlignment="1">
      <alignment horizontal="center" vertical="center" wrapText="1"/>
    </xf>
    <xf numFmtId="164" fontId="1" fillId="4" borderId="13" xfId="0" applyNumberFormat="1" applyFont="1" applyFill="1" applyBorder="1" applyAlignment="1">
      <alignment horizontal="center" vertical="center" wrapText="1"/>
    </xf>
    <xf numFmtId="164" fontId="1" fillId="4" borderId="1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12" xfId="0" applyNumberFormat="1" applyFont="1" applyFill="1" applyBorder="1" applyAlignment="1">
      <alignment horizontal="center" vertical="center" wrapText="1"/>
    </xf>
    <xf numFmtId="16" fontId="1" fillId="4" borderId="3" xfId="0" applyNumberFormat="1" applyFont="1" applyFill="1" applyBorder="1" applyAlignment="1">
      <alignment horizontal="center" vertical="center"/>
    </xf>
    <xf numFmtId="16" fontId="1" fillId="4" borderId="2" xfId="0" applyNumberFormat="1" applyFont="1" applyFill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4" fontId="2" fillId="4" borderId="35" xfId="0" applyNumberFormat="1" applyFont="1" applyFill="1" applyBorder="1" applyAlignment="1">
      <alignment horizontal="center" vertical="center" wrapText="1"/>
    </xf>
    <xf numFmtId="14" fontId="1" fillId="4" borderId="24" xfId="0" applyNumberFormat="1" applyFont="1" applyFill="1" applyBorder="1" applyAlignment="1">
      <alignment horizontal="center" vertical="center"/>
    </xf>
    <xf numFmtId="14" fontId="1" fillId="4" borderId="37" xfId="0" applyNumberFormat="1" applyFont="1" applyFill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2" fontId="1" fillId="4" borderId="31" xfId="0" applyNumberFormat="1" applyFont="1" applyFill="1" applyBorder="1" applyAlignment="1">
      <alignment horizontal="center" vertical="center" wrapText="1"/>
    </xf>
    <xf numFmtId="2" fontId="1" fillId="4" borderId="42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4" fontId="1" fillId="8" borderId="32" xfId="0" applyNumberFormat="1" applyFont="1" applyFill="1" applyBorder="1" applyAlignment="1">
      <alignment horizontal="center" vertical="center" wrapText="1"/>
    </xf>
    <xf numFmtId="14" fontId="1" fillId="8" borderId="41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164" fontId="1" fillId="8" borderId="11" xfId="0" applyNumberFormat="1" applyFont="1" applyFill="1" applyBorder="1" applyAlignment="1">
      <alignment horizontal="center" vertical="center" wrapText="1"/>
    </xf>
    <xf numFmtId="2" fontId="1" fillId="8" borderId="33" xfId="0" applyNumberFormat="1" applyFont="1" applyFill="1" applyBorder="1" applyAlignment="1">
      <alignment horizontal="center" vertical="center" wrapText="1"/>
    </xf>
    <xf numFmtId="2" fontId="1" fillId="8" borderId="42" xfId="0" applyNumberFormat="1" applyFont="1" applyFill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2" fontId="1" fillId="0" borderId="42" xfId="0" applyNumberFormat="1" applyFont="1" applyBorder="1" applyAlignment="1">
      <alignment horizontal="center" vertical="center" wrapText="1"/>
    </xf>
    <xf numFmtId="14" fontId="1" fillId="8" borderId="30" xfId="0" applyNumberFormat="1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164" fontId="1" fillId="8" borderId="13" xfId="0" applyNumberFormat="1" applyFont="1" applyFill="1" applyBorder="1" applyAlignment="1">
      <alignment horizontal="center" vertical="center" wrapText="1"/>
    </xf>
    <xf numFmtId="2" fontId="1" fillId="8" borderId="3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4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2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164" fontId="2" fillId="8" borderId="13" xfId="0" applyNumberFormat="1" applyFont="1" applyFill="1" applyBorder="1" applyAlignment="1">
      <alignment horizontal="center" vertical="center" wrapText="1"/>
    </xf>
    <xf numFmtId="164" fontId="2" fillId="8" borderId="11" xfId="0" applyNumberFormat="1" applyFont="1" applyFill="1" applyBorder="1" applyAlignment="1">
      <alignment horizontal="center" vertical="center" wrapText="1"/>
    </xf>
    <xf numFmtId="2" fontId="2" fillId="8" borderId="31" xfId="0" applyNumberFormat="1" applyFont="1" applyFill="1" applyBorder="1" applyAlignment="1">
      <alignment horizontal="center" vertical="center" wrapText="1"/>
    </xf>
    <xf numFmtId="2" fontId="2" fillId="8" borderId="42" xfId="0" applyNumberFormat="1" applyFont="1" applyFill="1" applyBorder="1" applyAlignment="1">
      <alignment horizontal="center" vertical="center" wrapText="1"/>
    </xf>
    <xf numFmtId="14" fontId="1" fillId="8" borderId="34" xfId="0" applyNumberFormat="1" applyFont="1" applyFill="1" applyBorder="1" applyAlignment="1">
      <alignment horizontal="center" vertical="center" wrapText="1"/>
    </xf>
    <xf numFmtId="0" fontId="1" fillId="8" borderId="35" xfId="0" applyFont="1" applyFill="1" applyBorder="1" applyAlignment="1">
      <alignment horizontal="center" vertical="center" wrapText="1"/>
    </xf>
    <xf numFmtId="164" fontId="1" fillId="8" borderId="35" xfId="0" applyNumberFormat="1" applyFont="1" applyFill="1" applyBorder="1" applyAlignment="1">
      <alignment horizontal="center" vertical="center" wrapText="1"/>
    </xf>
    <xf numFmtId="2" fontId="1" fillId="8" borderId="36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textRotation="255" shrinkToFit="1"/>
    </xf>
    <xf numFmtId="0" fontId="14" fillId="4" borderId="1" xfId="0" applyFont="1" applyFill="1" applyBorder="1" applyAlignment="1">
      <alignment horizontal="center" vertical="center" textRotation="255" shrinkToFit="1"/>
    </xf>
    <xf numFmtId="0" fontId="7" fillId="4" borderId="3" xfId="0" applyFont="1" applyFill="1" applyBorder="1" applyAlignment="1">
      <alignment horizontal="center" vertical="center" textRotation="255"/>
    </xf>
    <xf numFmtId="0" fontId="7" fillId="4" borderId="4" xfId="0" applyFont="1" applyFill="1" applyBorder="1" applyAlignment="1">
      <alignment horizontal="center" vertical="center" textRotation="255"/>
    </xf>
    <xf numFmtId="0" fontId="7" fillId="4" borderId="2" xfId="0" applyFont="1" applyFill="1" applyBorder="1" applyAlignment="1">
      <alignment horizontal="center" vertical="center" textRotation="255"/>
    </xf>
    <xf numFmtId="0" fontId="10" fillId="7" borderId="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1_FONCTIONNEMENT\13_DIRECTION%20JURIDIQUE\6_Assurances\2025-02-14%20-%20SUIVI%20ASSURANCES%20AUTO%2016h00.xlsx" TargetMode="External"/><Relationship Id="rId1" Type="http://schemas.openxmlformats.org/officeDocument/2006/relationships/externalLinkPath" Target="file:///Y:\01_FONCTIONNEMENT\13_DIRECTION%20JURIDIQUE\6_Assurances\2025-02-14%20-%20SUIVI%20ASSURANCES%20AUTO%2016h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 2026"/>
      <sheetName val="AUTO 2025"/>
      <sheetName val="AUTO 2024"/>
      <sheetName val="FLOTTE"/>
      <sheetName val="VH FONCTION"/>
      <sheetName val="VH SERVICE"/>
    </sheetNames>
    <sheetDataSet>
      <sheetData sheetId="0">
        <row r="15">
          <cell r="W15">
            <v>0</v>
          </cell>
        </row>
      </sheetData>
      <sheetData sheetId="1">
        <row r="3">
          <cell r="V3">
            <v>194.16</v>
          </cell>
          <cell r="W3">
            <v>0</v>
          </cell>
        </row>
        <row r="6">
          <cell r="V6">
            <v>235</v>
          </cell>
          <cell r="W6">
            <v>0</v>
          </cell>
        </row>
        <row r="7">
          <cell r="V7">
            <v>282</v>
          </cell>
          <cell r="W7">
            <v>0</v>
          </cell>
        </row>
        <row r="10">
          <cell r="V10">
            <v>4602</v>
          </cell>
          <cell r="W10">
            <v>658</v>
          </cell>
        </row>
        <row r="12">
          <cell r="W12">
            <v>658</v>
          </cell>
        </row>
        <row r="21">
          <cell r="V21">
            <v>2194</v>
          </cell>
          <cell r="W21">
            <v>479</v>
          </cell>
        </row>
        <row r="23">
          <cell r="V23">
            <v>219</v>
          </cell>
          <cell r="W23">
            <v>0</v>
          </cell>
        </row>
        <row r="27">
          <cell r="W27">
            <v>283</v>
          </cell>
        </row>
        <row r="29">
          <cell r="V29">
            <v>739</v>
          </cell>
          <cell r="W29">
            <v>0</v>
          </cell>
        </row>
        <row r="30">
          <cell r="V30">
            <v>736</v>
          </cell>
          <cell r="W30">
            <v>283</v>
          </cell>
        </row>
        <row r="35">
          <cell r="V35">
            <v>154</v>
          </cell>
          <cell r="W35">
            <v>0</v>
          </cell>
        </row>
        <row r="36">
          <cell r="V36">
            <v>537</v>
          </cell>
          <cell r="W36">
            <v>479</v>
          </cell>
        </row>
        <row r="41">
          <cell r="V41">
            <v>635</v>
          </cell>
          <cell r="W41">
            <v>479</v>
          </cell>
        </row>
      </sheetData>
      <sheetData sheetId="2">
        <row r="4">
          <cell r="V4">
            <v>4727.07</v>
          </cell>
          <cell r="W4">
            <v>624</v>
          </cell>
        </row>
        <row r="7">
          <cell r="V7">
            <v>164.23</v>
          </cell>
          <cell r="W7">
            <v>0</v>
          </cell>
        </row>
        <row r="11">
          <cell r="V11">
            <v>613.25</v>
          </cell>
          <cell r="W11">
            <v>0</v>
          </cell>
        </row>
        <row r="13">
          <cell r="V13">
            <v>1500.79</v>
          </cell>
          <cell r="W13">
            <v>454</v>
          </cell>
        </row>
        <row r="17">
          <cell r="V17">
            <v>1365.9</v>
          </cell>
          <cell r="W17">
            <v>676</v>
          </cell>
        </row>
        <row r="18">
          <cell r="V18">
            <v>272.64999999999998</v>
          </cell>
          <cell r="W18">
            <v>0</v>
          </cell>
        </row>
        <row r="23">
          <cell r="V23">
            <v>1422.25</v>
          </cell>
          <cell r="W23">
            <v>454</v>
          </cell>
        </row>
        <row r="25">
          <cell r="V25">
            <v>236.67</v>
          </cell>
          <cell r="W25">
            <v>0</v>
          </cell>
        </row>
        <row r="26">
          <cell r="V26">
            <v>67</v>
          </cell>
          <cell r="W26">
            <v>0</v>
          </cell>
        </row>
        <row r="27">
          <cell r="V27">
            <v>244.2</v>
          </cell>
          <cell r="W27">
            <v>0</v>
          </cell>
        </row>
        <row r="31">
          <cell r="V31">
            <v>5297</v>
          </cell>
          <cell r="W31">
            <v>268</v>
          </cell>
        </row>
        <row r="32">
          <cell r="V32">
            <v>741.97</v>
          </cell>
          <cell r="W32">
            <v>0</v>
          </cell>
        </row>
        <row r="41">
          <cell r="V41">
            <v>1354.26</v>
          </cell>
          <cell r="W41">
            <v>454</v>
          </cell>
        </row>
        <row r="42">
          <cell r="V42">
            <v>132.1</v>
          </cell>
          <cell r="W42">
            <v>454</v>
          </cell>
        </row>
        <row r="43">
          <cell r="V43">
            <v>572.05999999999995</v>
          </cell>
          <cell r="W43">
            <v>0</v>
          </cell>
        </row>
        <row r="47">
          <cell r="V47">
            <v>222.46</v>
          </cell>
          <cell r="W47">
            <v>0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uline JACQUET" id="{083A816D-5567-4100-9742-8387A4B5AC36}" userId="S::p.jacquet@elegia-groupe.fr::60d47bcf-2e66-484e-b7e2-6994139111d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" dT="2026-02-13T20:31:34.29" personId="{083A816D-5567-4100-9742-8387A4B5AC36}" id="{EFA46B58-D1E9-4130-B1F8-D65080662AAE}">
    <text>Augmentation BUDGETAIRE moyenne selon valeur de la prime = moyenne pondérée (moyenne des primes)</text>
  </threadedComment>
  <threadedComment ref="L47" dT="2026-02-13T20:41:02.12" personId="{083A816D-5567-4100-9742-8387A4B5AC36}" id="{BFB94823-B1B6-4410-BA76-F61EA886EB65}">
    <text>7,95&gt;7,76 c’est l’impact du sinistre</text>
  </threadedComment>
  <threadedComment ref="B48" dT="2026-02-13T20:30:10.65" personId="{083A816D-5567-4100-9742-8387A4B5AC36}" id="{039883D6-0393-42E5-A86B-9624767B434C}">
    <text>Impact des nouveaux véhicules</text>
  </threadedComment>
  <threadedComment ref="G51" dT="2026-02-13T20:38:17.25" personId="{083A816D-5567-4100-9742-8387A4B5AC36}" id="{12D759B9-99AA-42E5-A70E-864948E62F60}">
    <text>Augmentation TARIFAIRE moyenne par véhicule (1 pour 1) = moyenne arithmétique (moyenne des taux)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6" dT="2026-02-13T20:31:34.29" personId="{083A816D-5567-4100-9742-8387A4B5AC36}" id="{C7FFA3F6-010A-44B4-AD71-E4B2523F6AF5}">
    <text>Augmentation BUDGETAIRE moyenne selon valeur de la prime = moyenne pondérée (moyenne des primes)</text>
  </threadedComment>
  <threadedComment ref="L26" dT="2026-02-13T20:41:02.12" personId="{083A816D-5567-4100-9742-8387A4B5AC36}" id="{005C5817-1A16-4162-A289-E704837D72DC}">
    <text>7,95&gt;7,76 c’est l’impact du sinistre</text>
  </threadedComment>
  <threadedComment ref="B27" dT="2026-02-13T20:30:10.65" personId="{083A816D-5567-4100-9742-8387A4B5AC36}" id="{5A291723-692D-4BC1-B61F-A9EDE2B69047}">
    <text>Impact des nouveaux véhicules</text>
  </threadedComment>
  <threadedComment ref="G30" dT="2026-02-13T20:38:17.25" personId="{083A816D-5567-4100-9742-8387A4B5AC36}" id="{194CC893-C766-4646-8BA9-897EFC344484}">
    <text>Augmentation TARIFAIRE moyenne par véhicule (1 pour 1) = moyenne arithmétique (moyenne des taux)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3" dT="2026-02-13T20:31:34.29" personId="{083A816D-5567-4100-9742-8387A4B5AC36}" id="{459BB50A-1FFB-43CB-B264-FBE2010C70C9}">
    <text>Augmentation BUDGETAIRE moyenne selon valeur de la prime = moyenne pondérée (moyenne des primes)</text>
  </threadedComment>
  <threadedComment ref="K33" dT="2026-02-13T20:41:02.12" personId="{083A816D-5567-4100-9742-8387A4B5AC36}" id="{959B2CA5-B493-4C7E-8449-DF0887115196}">
    <text>7,95&gt;7,76 c’est l’impact du sinistre</text>
  </threadedComment>
  <threadedComment ref="B34" dT="2026-02-13T20:30:10.65" personId="{083A816D-5567-4100-9742-8387A4B5AC36}" id="{93C1D2C4-58B4-4C66-9F3D-EF3367566CDC}">
    <text>Impact des nouveaux véhicules</text>
  </threadedComment>
  <threadedComment ref="F37" dT="2026-02-13T20:38:17.25" personId="{083A816D-5567-4100-9742-8387A4B5AC36}" id="{D7EB2A13-D4DA-4D60-A7D7-E0C712150220}">
    <text>Augmentation TARIFAIRE moyenne par véhicule (1 pour 1) = moyenne arithmétique (moyenne des taux)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5A7F-0392-4350-9FFE-20BE1CAFE35F}">
  <dimension ref="A1:AK49"/>
  <sheetViews>
    <sheetView zoomScale="77" zoomScaleNormal="80" workbookViewId="0">
      <pane xSplit="9" topLeftCell="J1" activePane="topRight" state="frozen"/>
      <selection pane="topRight" activeCell="J1" sqref="J1:J1048576"/>
    </sheetView>
  </sheetViews>
  <sheetFormatPr baseColWidth="10" defaultColWidth="11.44140625" defaultRowHeight="14.4" x14ac:dyDescent="0.3"/>
  <cols>
    <col min="1" max="1" width="3.33203125" style="2" bestFit="1" customWidth="1"/>
    <col min="2" max="2" width="12.109375" style="2" bestFit="1" customWidth="1"/>
    <col min="3" max="3" width="15.109375" style="2" bestFit="1" customWidth="1"/>
    <col min="4" max="4" width="22" style="2" customWidth="1"/>
    <col min="5" max="7" width="15.109375" style="2" customWidth="1"/>
    <col min="8" max="8" width="11.44140625" style="2" bestFit="1" customWidth="1"/>
    <col min="9" max="9" width="26.5546875" style="2" bestFit="1" customWidth="1"/>
    <col min="10" max="10" width="8.33203125" style="2" bestFit="1" customWidth="1"/>
    <col min="11" max="11" width="15.6640625" style="2" bestFit="1" customWidth="1"/>
    <col min="12" max="12" width="12.109375" style="2" bestFit="1" customWidth="1"/>
    <col min="13" max="13" width="10.6640625" style="2" bestFit="1" customWidth="1"/>
    <col min="14" max="14" width="15.88671875" style="2" bestFit="1" customWidth="1"/>
    <col min="15" max="15" width="7.88671875" style="2" bestFit="1" customWidth="1"/>
    <col min="16" max="16" width="11.88671875" style="2" bestFit="1" customWidth="1"/>
    <col min="17" max="17" width="14.33203125" style="2" bestFit="1" customWidth="1"/>
    <col min="18" max="18" width="12.109375" style="1" bestFit="1" customWidth="1"/>
    <col min="19" max="19" width="11.5546875" style="1" bestFit="1" customWidth="1"/>
    <col min="20" max="20" width="5.5546875" style="1" customWidth="1"/>
    <col min="21" max="21" width="4.44140625" style="1" customWidth="1"/>
    <col min="22" max="22" width="13.109375" style="1" customWidth="1"/>
    <col min="23" max="23" width="12" style="1" customWidth="1"/>
    <col min="24" max="24" width="17.109375" style="1" customWidth="1"/>
    <col min="25" max="25" width="15" style="1" customWidth="1"/>
    <col min="26" max="26" width="11.44140625" style="1" customWidth="1"/>
    <col min="27" max="27" width="5.109375" style="1" bestFit="1" customWidth="1"/>
    <col min="28" max="28" width="14.44140625" style="2" customWidth="1"/>
    <col min="29" max="29" width="13.5546875" style="2" bestFit="1" customWidth="1"/>
    <col min="30" max="30" width="15.109375" style="2" customWidth="1"/>
    <col min="31" max="31" width="11.5546875" style="1" bestFit="1" customWidth="1"/>
    <col min="32" max="16384" width="11.44140625" style="2"/>
  </cols>
  <sheetData>
    <row r="1" spans="1:37" ht="30" customHeight="1" x14ac:dyDescent="0.3">
      <c r="A1" s="731"/>
      <c r="B1" s="700" t="s">
        <v>8</v>
      </c>
      <c r="C1" s="700" t="s">
        <v>19</v>
      </c>
      <c r="D1" s="700" t="s">
        <v>45</v>
      </c>
      <c r="E1" s="700" t="s">
        <v>41</v>
      </c>
      <c r="F1" s="708" t="s">
        <v>42</v>
      </c>
      <c r="G1" s="708"/>
      <c r="H1" s="700" t="s">
        <v>15</v>
      </c>
      <c r="I1" s="700" t="s">
        <v>18</v>
      </c>
      <c r="J1" s="700" t="s">
        <v>7</v>
      </c>
      <c r="K1" s="700" t="s">
        <v>6</v>
      </c>
      <c r="L1" s="700" t="s">
        <v>5</v>
      </c>
      <c r="M1" s="700" t="s">
        <v>11</v>
      </c>
      <c r="N1" s="700" t="s">
        <v>3</v>
      </c>
      <c r="O1" s="700" t="s">
        <v>2</v>
      </c>
      <c r="P1" s="700" t="s">
        <v>4</v>
      </c>
      <c r="Q1" s="707" t="s">
        <v>71</v>
      </c>
      <c r="R1" s="699" t="s">
        <v>22</v>
      </c>
      <c r="S1" s="732" t="s">
        <v>9</v>
      </c>
      <c r="T1" s="733"/>
      <c r="U1" s="733"/>
      <c r="V1" s="733"/>
      <c r="W1" s="733"/>
      <c r="X1" s="733"/>
      <c r="Y1" s="733"/>
      <c r="Z1" s="734"/>
      <c r="AA1" s="702" t="s">
        <v>26</v>
      </c>
      <c r="AB1" s="704" t="s">
        <v>13</v>
      </c>
      <c r="AC1" s="705"/>
      <c r="AD1" s="706"/>
      <c r="AE1" s="697" t="s">
        <v>1</v>
      </c>
      <c r="AF1" s="8"/>
      <c r="AH1" s="14" t="s">
        <v>35</v>
      </c>
      <c r="AI1" s="14" t="s">
        <v>36</v>
      </c>
      <c r="AJ1" s="10" t="s">
        <v>24</v>
      </c>
      <c r="AK1" s="10" t="s">
        <v>36</v>
      </c>
    </row>
    <row r="2" spans="1:37" ht="34.5" customHeight="1" x14ac:dyDescent="0.3">
      <c r="A2" s="731"/>
      <c r="B2" s="701"/>
      <c r="C2" s="701"/>
      <c r="D2" s="701"/>
      <c r="E2" s="701"/>
      <c r="F2" s="14" t="s">
        <v>43</v>
      </c>
      <c r="G2" s="14" t="s">
        <v>44</v>
      </c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699"/>
      <c r="S2" s="108" t="s">
        <v>14</v>
      </c>
      <c r="T2" s="14" t="s">
        <v>27</v>
      </c>
      <c r="U2" s="14" t="s">
        <v>28</v>
      </c>
      <c r="V2" s="14" t="s">
        <v>24</v>
      </c>
      <c r="W2" s="14" t="s">
        <v>110</v>
      </c>
      <c r="X2" s="673" t="s">
        <v>105</v>
      </c>
      <c r="Y2" s="14" t="s">
        <v>81</v>
      </c>
      <c r="Z2" s="94" t="s">
        <v>106</v>
      </c>
      <c r="AA2" s="703"/>
      <c r="AB2" s="68" t="s">
        <v>14</v>
      </c>
      <c r="AC2" s="14" t="s">
        <v>69</v>
      </c>
      <c r="AD2" s="94" t="s">
        <v>70</v>
      </c>
      <c r="AE2" s="698"/>
      <c r="AF2" s="8"/>
      <c r="AG2" s="39" t="s">
        <v>31</v>
      </c>
      <c r="AH2" s="38"/>
      <c r="AI2" s="38"/>
      <c r="AJ2" s="7"/>
      <c r="AK2" s="43"/>
    </row>
    <row r="3" spans="1:37" ht="28.8" x14ac:dyDescent="0.3">
      <c r="A3" s="25">
        <v>1</v>
      </c>
      <c r="B3" s="17" t="s">
        <v>118</v>
      </c>
      <c r="C3" s="18" t="s">
        <v>119</v>
      </c>
      <c r="D3" s="17" t="s">
        <v>55</v>
      </c>
      <c r="E3" s="18" t="s">
        <v>115</v>
      </c>
      <c r="F3" s="21">
        <v>45212</v>
      </c>
      <c r="G3" s="21">
        <v>46307</v>
      </c>
      <c r="H3" s="18" t="s">
        <v>168</v>
      </c>
      <c r="I3" s="157" t="s">
        <v>10</v>
      </c>
      <c r="J3" s="157" t="s">
        <v>16</v>
      </c>
      <c r="K3" s="19">
        <v>97</v>
      </c>
      <c r="L3" s="18" t="s">
        <v>161</v>
      </c>
      <c r="M3" s="18" t="s">
        <v>12</v>
      </c>
      <c r="N3" s="20">
        <v>45658</v>
      </c>
      <c r="O3" s="18" t="s">
        <v>0</v>
      </c>
      <c r="P3" s="21">
        <v>45435</v>
      </c>
      <c r="Q3" s="214" t="s">
        <v>10</v>
      </c>
      <c r="R3" s="215" t="s">
        <v>10</v>
      </c>
      <c r="S3" s="216"/>
      <c r="T3" s="157"/>
      <c r="U3" s="157"/>
      <c r="V3" s="158"/>
      <c r="W3" s="544"/>
      <c r="X3" s="544"/>
      <c r="Y3" s="549"/>
      <c r="Z3" s="643"/>
      <c r="AA3" s="111">
        <v>0.5</v>
      </c>
      <c r="AB3" s="175">
        <v>45994</v>
      </c>
      <c r="AC3" s="22">
        <f t="shared" ref="AC3:AC22" si="0">AD3/AA3</f>
        <v>2000.46</v>
      </c>
      <c r="AD3" s="75">
        <v>1000.23</v>
      </c>
      <c r="AE3" s="217"/>
      <c r="AF3" s="8"/>
      <c r="AG3" s="40" t="s">
        <v>29</v>
      </c>
      <c r="AH3" s="4"/>
      <c r="AI3" s="4"/>
      <c r="AJ3" s="7"/>
      <c r="AK3" s="43"/>
    </row>
    <row r="4" spans="1:37" ht="28.8" x14ac:dyDescent="0.3">
      <c r="A4" s="4">
        <v>1</v>
      </c>
      <c r="B4" s="3" t="s">
        <v>118</v>
      </c>
      <c r="C4" s="4" t="s">
        <v>120</v>
      </c>
      <c r="D4" s="15" t="s">
        <v>61</v>
      </c>
      <c r="E4" s="16" t="s">
        <v>115</v>
      </c>
      <c r="F4" s="181"/>
      <c r="G4" s="181"/>
      <c r="H4" s="4" t="s">
        <v>168</v>
      </c>
      <c r="I4" s="4" t="s">
        <v>148</v>
      </c>
      <c r="J4" s="3" t="s">
        <v>16</v>
      </c>
      <c r="K4" s="9">
        <v>96</v>
      </c>
      <c r="L4" s="4" t="s">
        <v>161</v>
      </c>
      <c r="M4" s="4" t="s">
        <v>12</v>
      </c>
      <c r="N4" s="5">
        <v>45658</v>
      </c>
      <c r="O4" s="4" t="s">
        <v>0</v>
      </c>
      <c r="P4" s="6">
        <v>45824</v>
      </c>
      <c r="Q4" s="7" t="s">
        <v>10</v>
      </c>
      <c r="R4" s="106" t="s">
        <v>10</v>
      </c>
      <c r="S4" s="177"/>
      <c r="T4" s="3"/>
      <c r="U4" s="3"/>
      <c r="V4" s="29"/>
      <c r="W4" s="29"/>
      <c r="X4" s="29"/>
      <c r="Y4" s="550"/>
      <c r="Z4" s="644"/>
      <c r="AA4" s="166">
        <v>0.5</v>
      </c>
      <c r="AB4" s="114">
        <v>45994</v>
      </c>
      <c r="AC4" s="13">
        <f t="shared" si="0"/>
        <v>1505.3</v>
      </c>
      <c r="AD4" s="70">
        <v>752.65</v>
      </c>
      <c r="AE4" s="113"/>
      <c r="AG4" s="39" t="s">
        <v>30</v>
      </c>
      <c r="AH4" s="4">
        <v>1</v>
      </c>
      <c r="AI4" s="4">
        <f>AH4/AH5*100</f>
        <v>100</v>
      </c>
      <c r="AJ4" s="7"/>
      <c r="AK4" s="43" t="e">
        <f>AJ4/AJ5*100</f>
        <v>#DIV/0!</v>
      </c>
    </row>
    <row r="5" spans="1:37" ht="28.8" x14ac:dyDescent="0.3">
      <c r="A5" s="4">
        <v>1</v>
      </c>
      <c r="B5" s="3" t="s">
        <v>118</v>
      </c>
      <c r="C5" s="4" t="s">
        <v>121</v>
      </c>
      <c r="D5" s="15" t="s">
        <v>62</v>
      </c>
      <c r="E5" s="16" t="s">
        <v>115</v>
      </c>
      <c r="F5" s="11">
        <v>45698</v>
      </c>
      <c r="G5" s="11">
        <v>46792</v>
      </c>
      <c r="H5" s="4" t="s">
        <v>168</v>
      </c>
      <c r="I5" s="4" t="s">
        <v>10</v>
      </c>
      <c r="J5" s="3" t="s">
        <v>16</v>
      </c>
      <c r="K5" s="9">
        <v>95</v>
      </c>
      <c r="L5" s="4" t="s">
        <v>161</v>
      </c>
      <c r="M5" s="4" t="s">
        <v>12</v>
      </c>
      <c r="N5" s="5">
        <v>45658</v>
      </c>
      <c r="O5" s="4" t="s">
        <v>0</v>
      </c>
      <c r="P5" s="6">
        <v>45698</v>
      </c>
      <c r="Q5" s="7" t="s">
        <v>10</v>
      </c>
      <c r="R5" s="106" t="s">
        <v>10</v>
      </c>
      <c r="S5" s="177"/>
      <c r="T5" s="3"/>
      <c r="U5" s="3"/>
      <c r="V5" s="29"/>
      <c r="W5" s="29"/>
      <c r="X5" s="29"/>
      <c r="Y5" s="550"/>
      <c r="Z5" s="644"/>
      <c r="AA5" s="166">
        <v>0.5</v>
      </c>
      <c r="AB5" s="114">
        <v>45994</v>
      </c>
      <c r="AC5" s="13">
        <f t="shared" si="0"/>
        <v>1874.94</v>
      </c>
      <c r="AD5" s="70">
        <v>937.47</v>
      </c>
      <c r="AE5" s="113"/>
      <c r="AH5" s="41">
        <f>SUM(AH2:AH4)</f>
        <v>1</v>
      </c>
      <c r="AI5" s="41">
        <f>SUM(AI2:AI4)</f>
        <v>100</v>
      </c>
      <c r="AJ5" s="42">
        <f>SUM(AJ2:AJ4)</f>
        <v>0</v>
      </c>
      <c r="AK5" s="44" t="e">
        <f>SUM(AK2:AK4)</f>
        <v>#DIV/0!</v>
      </c>
    </row>
    <row r="6" spans="1:37" ht="28.8" x14ac:dyDescent="0.3">
      <c r="A6" s="4">
        <v>1</v>
      </c>
      <c r="B6" s="3" t="s">
        <v>118</v>
      </c>
      <c r="C6" s="4" t="s">
        <v>122</v>
      </c>
      <c r="D6" s="15" t="s">
        <v>62</v>
      </c>
      <c r="E6" s="16" t="s">
        <v>115</v>
      </c>
      <c r="F6" s="11">
        <v>45709</v>
      </c>
      <c r="G6" s="11">
        <v>46803</v>
      </c>
      <c r="H6" s="4" t="s">
        <v>168</v>
      </c>
      <c r="I6" s="4" t="s">
        <v>10</v>
      </c>
      <c r="J6" s="3" t="s">
        <v>16</v>
      </c>
      <c r="K6" s="9">
        <v>94</v>
      </c>
      <c r="L6" s="4" t="s">
        <v>161</v>
      </c>
      <c r="M6" s="4" t="s">
        <v>12</v>
      </c>
      <c r="N6" s="5">
        <v>45658</v>
      </c>
      <c r="O6" s="4" t="s">
        <v>0</v>
      </c>
      <c r="P6" s="6">
        <v>45709</v>
      </c>
      <c r="Q6" s="7" t="s">
        <v>10</v>
      </c>
      <c r="R6" s="106" t="s">
        <v>10</v>
      </c>
      <c r="S6" s="177"/>
      <c r="T6" s="3"/>
      <c r="U6" s="3"/>
      <c r="V6" s="29"/>
      <c r="W6" s="29"/>
      <c r="X6" s="29"/>
      <c r="Y6" s="550"/>
      <c r="Z6" s="644"/>
      <c r="AA6" s="166">
        <v>0.5</v>
      </c>
      <c r="AB6" s="114">
        <v>45994</v>
      </c>
      <c r="AC6" s="13">
        <f t="shared" si="0"/>
        <v>1874.94</v>
      </c>
      <c r="AD6" s="70">
        <v>937.47</v>
      </c>
      <c r="AE6" s="113"/>
    </row>
    <row r="7" spans="1:37" ht="28.8" x14ac:dyDescent="0.3">
      <c r="A7" s="4">
        <v>1</v>
      </c>
      <c r="B7" s="3" t="s">
        <v>118</v>
      </c>
      <c r="C7" s="4" t="s">
        <v>123</v>
      </c>
      <c r="D7" s="15" t="s">
        <v>62</v>
      </c>
      <c r="E7" s="16" t="s">
        <v>115</v>
      </c>
      <c r="F7" s="11">
        <v>45709</v>
      </c>
      <c r="G7" s="11">
        <v>46803</v>
      </c>
      <c r="H7" s="4" t="s">
        <v>168</v>
      </c>
      <c r="I7" s="4" t="s">
        <v>10</v>
      </c>
      <c r="J7" s="3" t="s">
        <v>16</v>
      </c>
      <c r="K7" s="9">
        <v>93</v>
      </c>
      <c r="L7" s="4" t="s">
        <v>161</v>
      </c>
      <c r="M7" s="4" t="s">
        <v>12</v>
      </c>
      <c r="N7" s="5">
        <v>45658</v>
      </c>
      <c r="O7" s="4" t="s">
        <v>0</v>
      </c>
      <c r="P7" s="6">
        <v>45709</v>
      </c>
      <c r="Q7" s="7" t="s">
        <v>10</v>
      </c>
      <c r="R7" s="106" t="s">
        <v>10</v>
      </c>
      <c r="S7" s="177"/>
      <c r="T7" s="3"/>
      <c r="U7" s="3"/>
      <c r="V7" s="29"/>
      <c r="W7" s="29"/>
      <c r="X7" s="29"/>
      <c r="Y7" s="550"/>
      <c r="Z7" s="644"/>
      <c r="AA7" s="166">
        <v>0.5</v>
      </c>
      <c r="AB7" s="114">
        <v>45994</v>
      </c>
      <c r="AC7" s="13">
        <f t="shared" si="0"/>
        <v>1874.94</v>
      </c>
      <c r="AD7" s="70">
        <v>937.47</v>
      </c>
      <c r="AE7" s="113"/>
    </row>
    <row r="8" spans="1:37" ht="28.8" x14ac:dyDescent="0.3">
      <c r="A8" s="4">
        <v>1</v>
      </c>
      <c r="B8" s="3" t="s">
        <v>118</v>
      </c>
      <c r="C8" s="4" t="s">
        <v>124</v>
      </c>
      <c r="D8" s="15" t="s">
        <v>62</v>
      </c>
      <c r="E8" s="16" t="s">
        <v>115</v>
      </c>
      <c r="F8" s="11">
        <v>45698</v>
      </c>
      <c r="G8" s="11">
        <v>46792</v>
      </c>
      <c r="H8" s="4" t="s">
        <v>168</v>
      </c>
      <c r="I8" s="4" t="s">
        <v>10</v>
      </c>
      <c r="J8" s="3" t="s">
        <v>16</v>
      </c>
      <c r="K8" s="9">
        <v>92</v>
      </c>
      <c r="L8" s="4" t="s">
        <v>161</v>
      </c>
      <c r="M8" s="4" t="s">
        <v>12</v>
      </c>
      <c r="N8" s="5">
        <v>45658</v>
      </c>
      <c r="O8" s="4" t="s">
        <v>0</v>
      </c>
      <c r="P8" s="6">
        <v>45698</v>
      </c>
      <c r="Q8" s="7" t="s">
        <v>10</v>
      </c>
      <c r="R8" s="106" t="s">
        <v>10</v>
      </c>
      <c r="S8" s="177"/>
      <c r="T8" s="3"/>
      <c r="U8" s="3"/>
      <c r="V8" s="29"/>
      <c r="W8" s="29"/>
      <c r="X8" s="29"/>
      <c r="Y8" s="550"/>
      <c r="Z8" s="644"/>
      <c r="AA8" s="166">
        <v>0.5</v>
      </c>
      <c r="AB8" s="114">
        <v>45994</v>
      </c>
      <c r="AC8" s="13">
        <f t="shared" si="0"/>
        <v>1874.94</v>
      </c>
      <c r="AD8" s="70">
        <v>937.47</v>
      </c>
      <c r="AE8" s="113"/>
    </row>
    <row r="9" spans="1:37" ht="28.8" x14ac:dyDescent="0.3">
      <c r="A9" s="4">
        <v>1</v>
      </c>
      <c r="B9" s="3" t="s">
        <v>118</v>
      </c>
      <c r="C9" s="4" t="s">
        <v>125</v>
      </c>
      <c r="D9" s="3" t="s">
        <v>58</v>
      </c>
      <c r="E9" s="16" t="s">
        <v>115</v>
      </c>
      <c r="F9" s="11">
        <v>45698</v>
      </c>
      <c r="G9" s="11">
        <v>46792</v>
      </c>
      <c r="H9" s="4" t="s">
        <v>168</v>
      </c>
      <c r="I9" s="4" t="s">
        <v>10</v>
      </c>
      <c r="J9" s="3" t="s">
        <v>16</v>
      </c>
      <c r="K9" s="9">
        <v>91</v>
      </c>
      <c r="L9" s="4" t="s">
        <v>161</v>
      </c>
      <c r="M9" s="4" t="s">
        <v>12</v>
      </c>
      <c r="N9" s="5">
        <v>45658</v>
      </c>
      <c r="O9" s="4" t="s">
        <v>0</v>
      </c>
      <c r="P9" s="6">
        <v>45698</v>
      </c>
      <c r="Q9" s="7" t="s">
        <v>10</v>
      </c>
      <c r="R9" s="106" t="s">
        <v>10</v>
      </c>
      <c r="S9" s="177"/>
      <c r="T9" s="3"/>
      <c r="U9" s="3"/>
      <c r="V9" s="29"/>
      <c r="W9" s="29"/>
      <c r="X9" s="29"/>
      <c r="Y9" s="550"/>
      <c r="Z9" s="644"/>
      <c r="AA9" s="166">
        <v>0.5</v>
      </c>
      <c r="AB9" s="114">
        <v>45994</v>
      </c>
      <c r="AC9" s="13">
        <f t="shared" si="0"/>
        <v>1977.82</v>
      </c>
      <c r="AD9" s="70">
        <v>988.91</v>
      </c>
      <c r="AE9" s="113"/>
    </row>
    <row r="10" spans="1:37" ht="28.8" x14ac:dyDescent="0.3">
      <c r="A10" s="4">
        <v>1</v>
      </c>
      <c r="B10" s="3" t="s">
        <v>118</v>
      </c>
      <c r="C10" s="4" t="s">
        <v>126</v>
      </c>
      <c r="D10" s="3" t="s">
        <v>58</v>
      </c>
      <c r="E10" s="16" t="s">
        <v>115</v>
      </c>
      <c r="F10" s="11">
        <v>45698</v>
      </c>
      <c r="G10" s="11">
        <v>46792</v>
      </c>
      <c r="H10" s="4" t="s">
        <v>168</v>
      </c>
      <c r="I10" s="4" t="s">
        <v>10</v>
      </c>
      <c r="J10" s="3" t="s">
        <v>16</v>
      </c>
      <c r="K10" s="9">
        <v>90</v>
      </c>
      <c r="L10" s="4" t="s">
        <v>161</v>
      </c>
      <c r="M10" s="4" t="s">
        <v>12</v>
      </c>
      <c r="N10" s="5">
        <v>45658</v>
      </c>
      <c r="O10" s="4" t="s">
        <v>0</v>
      </c>
      <c r="P10" s="6">
        <v>45698</v>
      </c>
      <c r="Q10" s="7" t="s">
        <v>10</v>
      </c>
      <c r="R10" s="106" t="s">
        <v>10</v>
      </c>
      <c r="S10" s="177"/>
      <c r="T10" s="3"/>
      <c r="U10" s="3"/>
      <c r="V10" s="29"/>
      <c r="W10" s="29"/>
      <c r="X10" s="29"/>
      <c r="Y10" s="550"/>
      <c r="Z10" s="644"/>
      <c r="AA10" s="166">
        <v>0.5</v>
      </c>
      <c r="AB10" s="114">
        <v>45994</v>
      </c>
      <c r="AC10" s="13">
        <f t="shared" si="0"/>
        <v>1977.82</v>
      </c>
      <c r="AD10" s="70">
        <v>988.91</v>
      </c>
      <c r="AE10" s="113"/>
    </row>
    <row r="11" spans="1:37" ht="28.8" x14ac:dyDescent="0.3">
      <c r="A11" s="4">
        <v>1</v>
      </c>
      <c r="B11" s="3" t="s">
        <v>118</v>
      </c>
      <c r="C11" s="4" t="s">
        <v>127</v>
      </c>
      <c r="D11" s="15" t="s">
        <v>63</v>
      </c>
      <c r="E11" s="16" t="s">
        <v>115</v>
      </c>
      <c r="F11" s="11">
        <v>45698</v>
      </c>
      <c r="G11" s="11">
        <v>46792</v>
      </c>
      <c r="H11" s="4" t="s">
        <v>168</v>
      </c>
      <c r="I11" s="4" t="s">
        <v>149</v>
      </c>
      <c r="J11" s="3" t="s">
        <v>16</v>
      </c>
      <c r="K11" s="9">
        <v>89</v>
      </c>
      <c r="L11" s="4" t="s">
        <v>161</v>
      </c>
      <c r="M11" s="4" t="s">
        <v>12</v>
      </c>
      <c r="N11" s="5">
        <v>45658</v>
      </c>
      <c r="O11" s="4" t="s">
        <v>0</v>
      </c>
      <c r="P11" s="6">
        <v>45671</v>
      </c>
      <c r="Q11" s="7" t="s">
        <v>10</v>
      </c>
      <c r="R11" s="106" t="s">
        <v>10</v>
      </c>
      <c r="S11" s="177"/>
      <c r="T11" s="3"/>
      <c r="U11" s="3"/>
      <c r="V11" s="29"/>
      <c r="W11" s="29"/>
      <c r="X11" s="29"/>
      <c r="Y11" s="550"/>
      <c r="Z11" s="644"/>
      <c r="AA11" s="166">
        <v>0.5</v>
      </c>
      <c r="AB11" s="114">
        <v>45994</v>
      </c>
      <c r="AC11" s="13">
        <f t="shared" si="0"/>
        <v>2530.38</v>
      </c>
      <c r="AD11" s="70">
        <v>1265.19</v>
      </c>
      <c r="AE11" s="113"/>
    </row>
    <row r="12" spans="1:37" ht="28.8" x14ac:dyDescent="0.3">
      <c r="A12" s="4">
        <v>1</v>
      </c>
      <c r="B12" s="3" t="s">
        <v>118</v>
      </c>
      <c r="C12" s="4" t="s">
        <v>128</v>
      </c>
      <c r="D12" s="15" t="s">
        <v>62</v>
      </c>
      <c r="E12" s="16" t="s">
        <v>115</v>
      </c>
      <c r="F12" s="11">
        <v>45698</v>
      </c>
      <c r="G12" s="11">
        <v>46792</v>
      </c>
      <c r="H12" s="4" t="s">
        <v>168</v>
      </c>
      <c r="I12" s="4" t="s">
        <v>10</v>
      </c>
      <c r="J12" s="3" t="s">
        <v>16</v>
      </c>
      <c r="K12" s="9">
        <v>88</v>
      </c>
      <c r="L12" s="4" t="s">
        <v>161</v>
      </c>
      <c r="M12" s="4" t="s">
        <v>12</v>
      </c>
      <c r="N12" s="5">
        <v>45658</v>
      </c>
      <c r="O12" s="4" t="s">
        <v>0</v>
      </c>
      <c r="P12" s="6">
        <v>45698</v>
      </c>
      <c r="Q12" s="7" t="s">
        <v>10</v>
      </c>
      <c r="R12" s="106" t="s">
        <v>10</v>
      </c>
      <c r="S12" s="177"/>
      <c r="T12" s="3"/>
      <c r="U12" s="3"/>
      <c r="V12" s="29"/>
      <c r="W12" s="29"/>
      <c r="X12" s="29"/>
      <c r="Y12" s="550"/>
      <c r="Z12" s="644"/>
      <c r="AA12" s="166">
        <v>0.5</v>
      </c>
      <c r="AB12" s="114">
        <v>45994</v>
      </c>
      <c r="AC12" s="13">
        <f t="shared" si="0"/>
        <v>1927.78</v>
      </c>
      <c r="AD12" s="70">
        <v>963.89</v>
      </c>
      <c r="AE12" s="113"/>
    </row>
    <row r="13" spans="1:37" ht="28.8" x14ac:dyDescent="0.3">
      <c r="A13" s="4">
        <v>1</v>
      </c>
      <c r="B13" s="3" t="s">
        <v>118</v>
      </c>
      <c r="C13" s="4" t="s">
        <v>129</v>
      </c>
      <c r="D13" s="3" t="s">
        <v>52</v>
      </c>
      <c r="E13" s="16" t="s">
        <v>115</v>
      </c>
      <c r="F13" s="6">
        <v>45644</v>
      </c>
      <c r="G13" s="6">
        <v>46738</v>
      </c>
      <c r="H13" s="4" t="s">
        <v>168</v>
      </c>
      <c r="I13" s="4" t="s">
        <v>150</v>
      </c>
      <c r="J13" s="3" t="s">
        <v>16</v>
      </c>
      <c r="K13" s="9">
        <v>87</v>
      </c>
      <c r="L13" s="4" t="s">
        <v>161</v>
      </c>
      <c r="M13" s="4" t="s">
        <v>12</v>
      </c>
      <c r="N13" s="5">
        <v>45658</v>
      </c>
      <c r="O13" s="4" t="s">
        <v>0</v>
      </c>
      <c r="P13" s="6">
        <v>45644</v>
      </c>
      <c r="Q13" s="7" t="s">
        <v>10</v>
      </c>
      <c r="R13" s="106" t="s">
        <v>10</v>
      </c>
      <c r="S13" s="177"/>
      <c r="T13" s="3"/>
      <c r="U13" s="3"/>
      <c r="V13" s="29"/>
      <c r="W13" s="29"/>
      <c r="X13" s="29"/>
      <c r="Y13" s="550"/>
      <c r="Z13" s="644"/>
      <c r="AA13" s="166">
        <v>0.5</v>
      </c>
      <c r="AB13" s="114">
        <v>45994</v>
      </c>
      <c r="AC13" s="13">
        <f t="shared" si="0"/>
        <v>2383.36</v>
      </c>
      <c r="AD13" s="70">
        <v>1191.68</v>
      </c>
      <c r="AE13" s="113"/>
    </row>
    <row r="14" spans="1:37" ht="28.8" x14ac:dyDescent="0.3">
      <c r="A14" s="4">
        <v>1</v>
      </c>
      <c r="B14" s="3" t="s">
        <v>118</v>
      </c>
      <c r="C14" s="4" t="s">
        <v>130</v>
      </c>
      <c r="D14" s="49" t="s">
        <v>57</v>
      </c>
      <c r="E14" s="51" t="s">
        <v>116</v>
      </c>
      <c r="F14" s="52">
        <v>44908</v>
      </c>
      <c r="G14" s="52">
        <v>46003</v>
      </c>
      <c r="H14" s="4" t="s">
        <v>168</v>
      </c>
      <c r="I14" s="4" t="s">
        <v>151</v>
      </c>
      <c r="J14" s="3" t="s">
        <v>16</v>
      </c>
      <c r="K14" s="9">
        <v>86</v>
      </c>
      <c r="L14" s="4" t="s">
        <v>161</v>
      </c>
      <c r="M14" s="4" t="s">
        <v>12</v>
      </c>
      <c r="N14" s="5">
        <v>45658</v>
      </c>
      <c r="O14" s="4" t="s">
        <v>0</v>
      </c>
      <c r="P14" s="6">
        <v>45324</v>
      </c>
      <c r="Q14" s="7" t="s">
        <v>10</v>
      </c>
      <c r="R14" s="106" t="s">
        <v>10</v>
      </c>
      <c r="S14" s="177"/>
      <c r="T14" s="3"/>
      <c r="U14" s="3"/>
      <c r="V14" s="29"/>
      <c r="W14" s="29"/>
      <c r="X14" s="29"/>
      <c r="Y14" s="550"/>
      <c r="Z14" s="644"/>
      <c r="AA14" s="173">
        <v>0.57999999999999996</v>
      </c>
      <c r="AB14" s="114">
        <v>45994</v>
      </c>
      <c r="AC14" s="13">
        <f>AD14/AA14</f>
        <v>2375.6379310344828</v>
      </c>
      <c r="AD14" s="70">
        <v>1377.87</v>
      </c>
      <c r="AE14" s="113"/>
    </row>
    <row r="15" spans="1:37" ht="28.8" x14ac:dyDescent="0.3">
      <c r="A15" s="4">
        <v>1</v>
      </c>
      <c r="B15" s="3" t="s">
        <v>118</v>
      </c>
      <c r="C15" s="4" t="s">
        <v>131</v>
      </c>
      <c r="D15" s="49" t="s">
        <v>54</v>
      </c>
      <c r="E15" s="51" t="s">
        <v>116</v>
      </c>
      <c r="F15" s="52">
        <v>44835</v>
      </c>
      <c r="G15" s="52">
        <v>45929</v>
      </c>
      <c r="H15" s="4" t="s">
        <v>168</v>
      </c>
      <c r="I15" s="4" t="s">
        <v>152</v>
      </c>
      <c r="J15" s="3" t="s">
        <v>16</v>
      </c>
      <c r="K15" s="9">
        <v>85</v>
      </c>
      <c r="L15" s="4" t="s">
        <v>161</v>
      </c>
      <c r="M15" s="4" t="s">
        <v>12</v>
      </c>
      <c r="N15" s="5">
        <v>45658</v>
      </c>
      <c r="O15" s="4" t="s">
        <v>0</v>
      </c>
      <c r="P15" s="6">
        <v>45435</v>
      </c>
      <c r="Q15" s="7" t="s">
        <v>10</v>
      </c>
      <c r="R15" s="106" t="s">
        <v>10</v>
      </c>
      <c r="S15" s="172">
        <v>46029</v>
      </c>
      <c r="T15" s="12" t="s">
        <v>30</v>
      </c>
      <c r="U15" s="12">
        <v>0</v>
      </c>
      <c r="V15" s="543"/>
      <c r="W15" s="543">
        <v>0</v>
      </c>
      <c r="X15" s="543"/>
      <c r="Y15" s="551">
        <f>V15/AD15*100</f>
        <v>0</v>
      </c>
      <c r="Z15" s="645">
        <v>1</v>
      </c>
      <c r="AA15" s="166">
        <v>0.5</v>
      </c>
      <c r="AB15" s="114">
        <v>45994</v>
      </c>
      <c r="AC15" s="13">
        <f t="shared" si="0"/>
        <v>2144.58</v>
      </c>
      <c r="AD15" s="70">
        <v>1072.29</v>
      </c>
      <c r="AE15" s="113"/>
    </row>
    <row r="16" spans="1:37" ht="28.8" x14ac:dyDescent="0.3">
      <c r="A16" s="4">
        <v>1</v>
      </c>
      <c r="B16" s="3" t="s">
        <v>118</v>
      </c>
      <c r="C16" s="4" t="s">
        <v>132</v>
      </c>
      <c r="D16" s="49" t="s">
        <v>53</v>
      </c>
      <c r="E16" s="51" t="s">
        <v>116</v>
      </c>
      <c r="F16" s="52">
        <v>45177</v>
      </c>
      <c r="G16" s="52">
        <v>46272</v>
      </c>
      <c r="H16" s="4" t="s">
        <v>168</v>
      </c>
      <c r="I16" s="4" t="s">
        <v>153</v>
      </c>
      <c r="J16" s="3" t="s">
        <v>16</v>
      </c>
      <c r="K16" s="9">
        <v>83</v>
      </c>
      <c r="L16" s="4" t="s">
        <v>161</v>
      </c>
      <c r="M16" s="4" t="s">
        <v>12</v>
      </c>
      <c r="N16" s="5">
        <v>45658</v>
      </c>
      <c r="O16" s="4" t="s">
        <v>0</v>
      </c>
      <c r="P16" s="6">
        <v>45435</v>
      </c>
      <c r="Q16" s="7" t="s">
        <v>10</v>
      </c>
      <c r="R16" s="106" t="s">
        <v>10</v>
      </c>
      <c r="S16" s="177"/>
      <c r="T16" s="3"/>
      <c r="U16" s="3"/>
      <c r="V16" s="29"/>
      <c r="W16" s="29"/>
      <c r="X16" s="29"/>
      <c r="Y16" s="550"/>
      <c r="Z16" s="644"/>
      <c r="AA16" s="166">
        <v>0.5</v>
      </c>
      <c r="AB16" s="114">
        <v>45994</v>
      </c>
      <c r="AC16" s="13">
        <f t="shared" si="0"/>
        <v>2331.16</v>
      </c>
      <c r="AD16" s="70">
        <v>1165.58</v>
      </c>
      <c r="AE16" s="113"/>
    </row>
    <row r="17" spans="1:31" ht="28.8" x14ac:dyDescent="0.3">
      <c r="A17" s="4">
        <v>1</v>
      </c>
      <c r="B17" s="3" t="s">
        <v>118</v>
      </c>
      <c r="C17" s="4" t="s">
        <v>133</v>
      </c>
      <c r="D17" s="49" t="s">
        <v>53</v>
      </c>
      <c r="E17" s="51" t="s">
        <v>116</v>
      </c>
      <c r="F17" s="52">
        <v>45089</v>
      </c>
      <c r="G17" s="52">
        <v>46184</v>
      </c>
      <c r="H17" s="4" t="s">
        <v>168</v>
      </c>
      <c r="I17" s="4" t="s">
        <v>10</v>
      </c>
      <c r="J17" s="3" t="s">
        <v>16</v>
      </c>
      <c r="K17" s="9">
        <v>82</v>
      </c>
      <c r="L17" s="4" t="s">
        <v>161</v>
      </c>
      <c r="M17" s="4" t="s">
        <v>12</v>
      </c>
      <c r="N17" s="5">
        <v>45658</v>
      </c>
      <c r="O17" s="4" t="s">
        <v>0</v>
      </c>
      <c r="P17" s="6">
        <v>45435</v>
      </c>
      <c r="Q17" s="7" t="s">
        <v>10</v>
      </c>
      <c r="R17" s="106" t="s">
        <v>10</v>
      </c>
      <c r="S17" s="177"/>
      <c r="T17" s="3"/>
      <c r="U17" s="3"/>
      <c r="V17" s="29"/>
      <c r="W17" s="29"/>
      <c r="X17" s="29"/>
      <c r="Y17" s="550"/>
      <c r="Z17" s="644"/>
      <c r="AA17" s="166">
        <v>0.5</v>
      </c>
      <c r="AB17" s="114">
        <v>45994</v>
      </c>
      <c r="AC17" s="13">
        <f t="shared" si="0"/>
        <v>2432.2800000000002</v>
      </c>
      <c r="AD17" s="70">
        <v>1216.1400000000001</v>
      </c>
      <c r="AE17" s="113"/>
    </row>
    <row r="18" spans="1:31" ht="28.8" x14ac:dyDescent="0.3">
      <c r="A18" s="4">
        <v>1</v>
      </c>
      <c r="B18" s="3" t="s">
        <v>118</v>
      </c>
      <c r="C18" s="4" t="s">
        <v>134</v>
      </c>
      <c r="D18" s="49" t="s">
        <v>56</v>
      </c>
      <c r="E18" s="51" t="s">
        <v>116</v>
      </c>
      <c r="F18" s="52">
        <v>45089</v>
      </c>
      <c r="G18" s="52">
        <v>46184</v>
      </c>
      <c r="H18" s="4" t="s">
        <v>168</v>
      </c>
      <c r="I18" s="4" t="s">
        <v>154</v>
      </c>
      <c r="J18" s="3" t="s">
        <v>16</v>
      </c>
      <c r="K18" s="9">
        <v>81</v>
      </c>
      <c r="L18" s="4" t="s">
        <v>161</v>
      </c>
      <c r="M18" s="4" t="s">
        <v>12</v>
      </c>
      <c r="N18" s="5">
        <v>45658</v>
      </c>
      <c r="O18" s="4" t="s">
        <v>0</v>
      </c>
      <c r="P18" s="6">
        <v>45435</v>
      </c>
      <c r="Q18" s="7" t="s">
        <v>10</v>
      </c>
      <c r="R18" s="106" t="s">
        <v>10</v>
      </c>
      <c r="S18" s="177"/>
      <c r="T18" s="3"/>
      <c r="U18" s="3"/>
      <c r="V18" s="29"/>
      <c r="W18" s="29"/>
      <c r="X18" s="29"/>
      <c r="Y18" s="550"/>
      <c r="Z18" s="644"/>
      <c r="AA18" s="166">
        <v>0.5</v>
      </c>
      <c r="AB18" s="114">
        <v>45994</v>
      </c>
      <c r="AC18" s="13">
        <f t="shared" si="0"/>
        <v>2331.9</v>
      </c>
      <c r="AD18" s="70">
        <v>1165.95</v>
      </c>
      <c r="AE18" s="113"/>
    </row>
    <row r="19" spans="1:31" ht="35.4" customHeight="1" x14ac:dyDescent="0.3">
      <c r="A19" s="4">
        <v>1</v>
      </c>
      <c r="B19" s="3" t="s">
        <v>118</v>
      </c>
      <c r="C19" s="4" t="s">
        <v>135</v>
      </c>
      <c r="D19" s="49" t="s">
        <v>59</v>
      </c>
      <c r="E19" s="51" t="s">
        <v>117</v>
      </c>
      <c r="F19" s="52">
        <v>45076</v>
      </c>
      <c r="G19" s="52">
        <v>46171</v>
      </c>
      <c r="H19" s="4" t="s">
        <v>168</v>
      </c>
      <c r="I19" s="4" t="s">
        <v>155</v>
      </c>
      <c r="J19" s="3" t="s">
        <v>16</v>
      </c>
      <c r="K19" s="9">
        <v>80</v>
      </c>
      <c r="L19" s="4" t="s">
        <v>161</v>
      </c>
      <c r="M19" s="4" t="s">
        <v>12</v>
      </c>
      <c r="N19" s="5">
        <v>45658</v>
      </c>
      <c r="O19" s="4" t="s">
        <v>0</v>
      </c>
      <c r="P19" s="6">
        <v>45076</v>
      </c>
      <c r="Q19" s="7" t="s">
        <v>10</v>
      </c>
      <c r="R19" s="106" t="s">
        <v>10</v>
      </c>
      <c r="S19" s="177"/>
      <c r="T19" s="3"/>
      <c r="U19" s="3"/>
      <c r="V19" s="29"/>
      <c r="W19" s="29"/>
      <c r="X19" s="29"/>
      <c r="Y19" s="550"/>
      <c r="Z19" s="644"/>
      <c r="AA19" s="166">
        <v>0.5</v>
      </c>
      <c r="AB19" s="114">
        <v>45994</v>
      </c>
      <c r="AC19" s="13">
        <f t="shared" si="0"/>
        <v>4770.76</v>
      </c>
      <c r="AD19" s="70">
        <v>2385.38</v>
      </c>
      <c r="AE19" s="113"/>
    </row>
    <row r="20" spans="1:31" ht="28.8" x14ac:dyDescent="0.3">
      <c r="A20" s="4">
        <v>1</v>
      </c>
      <c r="B20" s="3" t="s">
        <v>118</v>
      </c>
      <c r="C20" s="4" t="s">
        <v>136</v>
      </c>
      <c r="D20" s="49" t="s">
        <v>53</v>
      </c>
      <c r="E20" s="51" t="s">
        <v>116</v>
      </c>
      <c r="F20" s="52">
        <v>45027</v>
      </c>
      <c r="G20" s="52">
        <v>46122</v>
      </c>
      <c r="H20" s="4" t="s">
        <v>168</v>
      </c>
      <c r="I20" s="4" t="s">
        <v>156</v>
      </c>
      <c r="J20" s="3" t="s">
        <v>16</v>
      </c>
      <c r="K20" s="9">
        <v>79</v>
      </c>
      <c r="L20" s="4" t="s">
        <v>161</v>
      </c>
      <c r="M20" s="4" t="s">
        <v>12</v>
      </c>
      <c r="N20" s="5">
        <v>45658</v>
      </c>
      <c r="O20" s="4" t="s">
        <v>0</v>
      </c>
      <c r="P20" s="6">
        <v>46123</v>
      </c>
      <c r="Q20" s="7" t="s">
        <v>10</v>
      </c>
      <c r="R20" s="106" t="s">
        <v>10</v>
      </c>
      <c r="S20" s="177"/>
      <c r="T20" s="3"/>
      <c r="U20" s="3"/>
      <c r="V20" s="29"/>
      <c r="W20" s="29"/>
      <c r="X20" s="29"/>
      <c r="Y20" s="550"/>
      <c r="Z20" s="644"/>
      <c r="AA20" s="166">
        <v>0.5</v>
      </c>
      <c r="AB20" s="114">
        <v>45994</v>
      </c>
      <c r="AC20" s="13">
        <f t="shared" si="0"/>
        <v>2510.92</v>
      </c>
      <c r="AD20" s="70">
        <v>1255.46</v>
      </c>
      <c r="AE20" s="113"/>
    </row>
    <row r="21" spans="1:31" ht="28.8" x14ac:dyDescent="0.3">
      <c r="A21" s="4">
        <v>1</v>
      </c>
      <c r="B21" s="3" t="s">
        <v>118</v>
      </c>
      <c r="C21" s="4" t="s">
        <v>137</v>
      </c>
      <c r="D21" s="49" t="s">
        <v>54</v>
      </c>
      <c r="E21" s="51" t="s">
        <v>117</v>
      </c>
      <c r="F21" s="52">
        <v>44978</v>
      </c>
      <c r="G21" s="52">
        <v>46073</v>
      </c>
      <c r="H21" s="4" t="s">
        <v>168</v>
      </c>
      <c r="I21" s="4" t="s">
        <v>157</v>
      </c>
      <c r="J21" s="3" t="s">
        <v>16</v>
      </c>
      <c r="K21" s="9">
        <v>78</v>
      </c>
      <c r="L21" s="4" t="s">
        <v>161</v>
      </c>
      <c r="M21" s="4" t="s">
        <v>12</v>
      </c>
      <c r="N21" s="5">
        <v>45658</v>
      </c>
      <c r="O21" s="4" t="s">
        <v>0</v>
      </c>
      <c r="P21" s="6">
        <v>44978</v>
      </c>
      <c r="Q21" s="7" t="s">
        <v>10</v>
      </c>
      <c r="R21" s="106" t="s">
        <v>10</v>
      </c>
      <c r="S21" s="640"/>
      <c r="T21" s="49"/>
      <c r="U21" s="49"/>
      <c r="V21" s="101"/>
      <c r="W21" s="101"/>
      <c r="X21" s="101"/>
      <c r="Y21" s="630"/>
      <c r="Z21" s="646"/>
      <c r="AA21" s="166">
        <v>0.5</v>
      </c>
      <c r="AB21" s="114">
        <v>45994</v>
      </c>
      <c r="AC21" s="13">
        <f t="shared" si="0"/>
        <v>2214.7600000000002</v>
      </c>
      <c r="AD21" s="70">
        <v>1107.3800000000001</v>
      </c>
      <c r="AE21" s="113"/>
    </row>
    <row r="22" spans="1:31" x14ac:dyDescent="0.3">
      <c r="A22" s="723">
        <v>0</v>
      </c>
      <c r="B22" s="711" t="s">
        <v>118</v>
      </c>
      <c r="C22" s="723" t="s">
        <v>138</v>
      </c>
      <c r="D22" s="730" t="s">
        <v>58</v>
      </c>
      <c r="E22" s="723" t="s">
        <v>116</v>
      </c>
      <c r="F22" s="738">
        <v>44915</v>
      </c>
      <c r="G22" s="709">
        <v>46010</v>
      </c>
      <c r="H22" s="713" t="s">
        <v>168</v>
      </c>
      <c r="I22" s="713" t="s">
        <v>10</v>
      </c>
      <c r="J22" s="711" t="s">
        <v>16</v>
      </c>
      <c r="K22" s="715">
        <v>77</v>
      </c>
      <c r="L22" s="713" t="s">
        <v>161</v>
      </c>
      <c r="M22" s="713" t="s">
        <v>12</v>
      </c>
      <c r="N22" s="717">
        <v>45658</v>
      </c>
      <c r="O22" s="713" t="s">
        <v>0</v>
      </c>
      <c r="P22" s="719">
        <v>44908</v>
      </c>
      <c r="Q22" s="234" t="s">
        <v>10</v>
      </c>
      <c r="R22" s="721" t="s">
        <v>10</v>
      </c>
      <c r="S22" s="742"/>
      <c r="T22" s="721"/>
      <c r="U22" s="721"/>
      <c r="V22" s="736"/>
      <c r="W22" s="736"/>
      <c r="X22" s="736"/>
      <c r="Y22" s="744"/>
      <c r="Z22" s="735"/>
      <c r="AA22" s="230">
        <v>0.5</v>
      </c>
      <c r="AB22" s="231">
        <v>45994</v>
      </c>
      <c r="AC22" s="90">
        <f t="shared" si="0"/>
        <v>2672.02</v>
      </c>
      <c r="AD22" s="232">
        <v>1336.01</v>
      </c>
      <c r="AE22" s="709">
        <v>46010</v>
      </c>
    </row>
    <row r="23" spans="1:31" x14ac:dyDescent="0.3">
      <c r="A23" s="723"/>
      <c r="B23" s="712"/>
      <c r="C23" s="723"/>
      <c r="D23" s="730"/>
      <c r="E23" s="723"/>
      <c r="F23" s="738"/>
      <c r="G23" s="710"/>
      <c r="H23" s="714"/>
      <c r="I23" s="714"/>
      <c r="J23" s="712"/>
      <c r="K23" s="716"/>
      <c r="L23" s="714"/>
      <c r="M23" s="714"/>
      <c r="N23" s="718"/>
      <c r="O23" s="714"/>
      <c r="P23" s="720"/>
      <c r="Q23" s="236"/>
      <c r="R23" s="722"/>
      <c r="S23" s="743"/>
      <c r="T23" s="722"/>
      <c r="U23" s="722"/>
      <c r="V23" s="739"/>
      <c r="W23" s="739"/>
      <c r="X23" s="739"/>
      <c r="Y23" s="741"/>
      <c r="Z23" s="729"/>
      <c r="AA23" s="230">
        <v>0.5</v>
      </c>
      <c r="AB23" s="231">
        <v>46015</v>
      </c>
      <c r="AC23" s="90"/>
      <c r="AD23" s="232">
        <v>-1380.94</v>
      </c>
      <c r="AE23" s="710"/>
    </row>
    <row r="24" spans="1:31" ht="28.8" x14ac:dyDescent="0.3">
      <c r="A24" s="4">
        <v>1</v>
      </c>
      <c r="B24" s="3" t="s">
        <v>118</v>
      </c>
      <c r="C24" s="4" t="s">
        <v>139</v>
      </c>
      <c r="D24" s="49" t="s">
        <v>53</v>
      </c>
      <c r="E24" s="51" t="s">
        <v>116</v>
      </c>
      <c r="F24" s="52">
        <v>44878</v>
      </c>
      <c r="G24" s="6">
        <v>45973</v>
      </c>
      <c r="H24" s="4" t="s">
        <v>168</v>
      </c>
      <c r="I24" s="4" t="s">
        <v>10</v>
      </c>
      <c r="J24" s="3" t="s">
        <v>16</v>
      </c>
      <c r="K24" s="9">
        <v>75</v>
      </c>
      <c r="L24" s="4" t="s">
        <v>161</v>
      </c>
      <c r="M24" s="4" t="s">
        <v>12</v>
      </c>
      <c r="N24" s="5">
        <v>45658</v>
      </c>
      <c r="O24" s="4" t="s">
        <v>0</v>
      </c>
      <c r="P24" s="6">
        <v>44878</v>
      </c>
      <c r="Q24" s="54" t="s">
        <v>10</v>
      </c>
      <c r="R24" s="106" t="s">
        <v>10</v>
      </c>
      <c r="S24" s="641"/>
      <c r="T24" s="50"/>
      <c r="U24" s="50"/>
      <c r="V24" s="102"/>
      <c r="W24" s="102"/>
      <c r="X24" s="102"/>
      <c r="Y24" s="631"/>
      <c r="Z24" s="647"/>
      <c r="AA24" s="166">
        <v>0.5</v>
      </c>
      <c r="AB24" s="114">
        <v>45994</v>
      </c>
      <c r="AC24" s="13">
        <f t="shared" ref="AC24:AC29" si="1">AD24/AA24</f>
        <v>2170.2600000000002</v>
      </c>
      <c r="AD24" s="70">
        <v>1085.1300000000001</v>
      </c>
      <c r="AE24" s="113"/>
    </row>
    <row r="25" spans="1:31" ht="28.8" x14ac:dyDescent="0.3">
      <c r="A25" s="4">
        <v>1</v>
      </c>
      <c r="B25" s="3" t="s">
        <v>118</v>
      </c>
      <c r="C25" s="4" t="s">
        <v>140</v>
      </c>
      <c r="D25" s="49" t="s">
        <v>53</v>
      </c>
      <c r="E25" s="51" t="s">
        <v>116</v>
      </c>
      <c r="F25" s="52">
        <v>44885</v>
      </c>
      <c r="G25" s="6">
        <v>45980</v>
      </c>
      <c r="H25" s="4" t="s">
        <v>168</v>
      </c>
      <c r="I25" s="4" t="s">
        <v>10</v>
      </c>
      <c r="J25" s="3" t="s">
        <v>16</v>
      </c>
      <c r="K25" s="9">
        <v>74</v>
      </c>
      <c r="L25" s="4" t="s">
        <v>161</v>
      </c>
      <c r="M25" s="4" t="s">
        <v>12</v>
      </c>
      <c r="N25" s="5">
        <v>45658</v>
      </c>
      <c r="O25" s="4" t="s">
        <v>0</v>
      </c>
      <c r="P25" s="6">
        <v>44885</v>
      </c>
      <c r="Q25" s="7" t="s">
        <v>10</v>
      </c>
      <c r="R25" s="106" t="s">
        <v>10</v>
      </c>
      <c r="S25" s="177"/>
      <c r="T25" s="3"/>
      <c r="U25" s="3"/>
      <c r="V25" s="29"/>
      <c r="W25" s="29"/>
      <c r="X25" s="29"/>
      <c r="Y25" s="550"/>
      <c r="Z25" s="644"/>
      <c r="AA25" s="166">
        <v>0.5</v>
      </c>
      <c r="AB25" s="114">
        <v>45994</v>
      </c>
      <c r="AC25" s="13">
        <f t="shared" si="1"/>
        <v>2190.8200000000002</v>
      </c>
      <c r="AD25" s="70">
        <v>1095.4100000000001</v>
      </c>
      <c r="AE25" s="113"/>
    </row>
    <row r="26" spans="1:31" ht="28.8" x14ac:dyDescent="0.3">
      <c r="A26" s="4">
        <v>1</v>
      </c>
      <c r="B26" s="3" t="s">
        <v>118</v>
      </c>
      <c r="C26" s="4" t="s">
        <v>141</v>
      </c>
      <c r="D26" s="49" t="s">
        <v>58</v>
      </c>
      <c r="E26" s="51" t="s">
        <v>116</v>
      </c>
      <c r="F26" s="52">
        <v>44827</v>
      </c>
      <c r="G26" s="52">
        <v>45922</v>
      </c>
      <c r="H26" s="4" t="s">
        <v>168</v>
      </c>
      <c r="I26" s="4" t="s">
        <v>10</v>
      </c>
      <c r="J26" s="3" t="s">
        <v>16</v>
      </c>
      <c r="K26" s="9">
        <v>72</v>
      </c>
      <c r="L26" s="4" t="s">
        <v>161</v>
      </c>
      <c r="M26" s="4" t="s">
        <v>12</v>
      </c>
      <c r="N26" s="5">
        <v>45658</v>
      </c>
      <c r="O26" s="4" t="s">
        <v>0</v>
      </c>
      <c r="P26" s="6">
        <v>44827</v>
      </c>
      <c r="Q26" s="7" t="s">
        <v>10</v>
      </c>
      <c r="R26" s="106" t="s">
        <v>10</v>
      </c>
      <c r="S26" s="177"/>
      <c r="T26" s="3"/>
      <c r="U26" s="3"/>
      <c r="V26" s="29"/>
      <c r="W26" s="29"/>
      <c r="X26" s="29"/>
      <c r="Y26" s="550"/>
      <c r="Z26" s="644"/>
      <c r="AA26" s="166">
        <v>0.5</v>
      </c>
      <c r="AB26" s="114">
        <v>45994</v>
      </c>
      <c r="AC26" s="13">
        <f t="shared" si="1"/>
        <v>2177.46</v>
      </c>
      <c r="AD26" s="70">
        <v>1088.73</v>
      </c>
      <c r="AE26" s="113"/>
    </row>
    <row r="27" spans="1:31" ht="28.8" x14ac:dyDescent="0.3">
      <c r="A27" s="4">
        <v>1</v>
      </c>
      <c r="B27" s="3" t="s">
        <v>118</v>
      </c>
      <c r="C27" s="4" t="s">
        <v>142</v>
      </c>
      <c r="D27" s="49" t="s">
        <v>58</v>
      </c>
      <c r="E27" s="51" t="s">
        <v>116</v>
      </c>
      <c r="F27" s="52">
        <v>44855</v>
      </c>
      <c r="G27" s="52">
        <v>45950</v>
      </c>
      <c r="H27" s="4" t="s">
        <v>168</v>
      </c>
      <c r="I27" s="4" t="s">
        <v>10</v>
      </c>
      <c r="J27" s="3" t="s">
        <v>16</v>
      </c>
      <c r="K27" s="9">
        <v>71</v>
      </c>
      <c r="L27" s="4" t="s">
        <v>161</v>
      </c>
      <c r="M27" s="4" t="s">
        <v>12</v>
      </c>
      <c r="N27" s="5">
        <v>45658</v>
      </c>
      <c r="O27" s="4" t="s">
        <v>0</v>
      </c>
      <c r="P27" s="6">
        <v>44855</v>
      </c>
      <c r="Q27" s="7" t="s">
        <v>10</v>
      </c>
      <c r="R27" s="106" t="s">
        <v>10</v>
      </c>
      <c r="S27" s="177"/>
      <c r="T27" s="3"/>
      <c r="U27" s="3"/>
      <c r="V27" s="29"/>
      <c r="W27" s="29"/>
      <c r="X27" s="29"/>
      <c r="Y27" s="550"/>
      <c r="Z27" s="644"/>
      <c r="AA27" s="166">
        <v>0.5</v>
      </c>
      <c r="AB27" s="114">
        <v>45994</v>
      </c>
      <c r="AC27" s="13">
        <f t="shared" si="1"/>
        <v>2419.7399999999998</v>
      </c>
      <c r="AD27" s="70">
        <v>1209.8699999999999</v>
      </c>
      <c r="AE27" s="113"/>
    </row>
    <row r="28" spans="1:31" ht="28.8" x14ac:dyDescent="0.3">
      <c r="A28" s="4">
        <v>1</v>
      </c>
      <c r="B28" s="3" t="s">
        <v>118</v>
      </c>
      <c r="C28" s="4" t="s">
        <v>143</v>
      </c>
      <c r="D28" s="49" t="s">
        <v>58</v>
      </c>
      <c r="E28" s="51" t="s">
        <v>116</v>
      </c>
      <c r="F28" s="36">
        <v>44841</v>
      </c>
      <c r="G28" s="36">
        <v>45936</v>
      </c>
      <c r="H28" s="4" t="s">
        <v>168</v>
      </c>
      <c r="I28" s="4" t="s">
        <v>158</v>
      </c>
      <c r="J28" s="3" t="s">
        <v>16</v>
      </c>
      <c r="K28" s="9">
        <v>70</v>
      </c>
      <c r="L28" s="4" t="s">
        <v>161</v>
      </c>
      <c r="M28" s="4" t="s">
        <v>12</v>
      </c>
      <c r="N28" s="5">
        <v>45658</v>
      </c>
      <c r="O28" s="4" t="s">
        <v>0</v>
      </c>
      <c r="P28" s="6">
        <v>44841</v>
      </c>
      <c r="Q28" s="53" t="s">
        <v>10</v>
      </c>
      <c r="R28" s="106" t="s">
        <v>10</v>
      </c>
      <c r="S28" s="640"/>
      <c r="T28" s="49"/>
      <c r="U28" s="49"/>
      <c r="V28" s="101"/>
      <c r="W28" s="101"/>
      <c r="X28" s="101"/>
      <c r="Y28" s="630"/>
      <c r="Z28" s="646"/>
      <c r="AA28" s="166">
        <v>0.5</v>
      </c>
      <c r="AB28" s="114">
        <v>45994</v>
      </c>
      <c r="AC28" s="13">
        <f t="shared" si="1"/>
        <v>2318.52</v>
      </c>
      <c r="AD28" s="70">
        <v>1159.26</v>
      </c>
      <c r="AE28" s="113"/>
    </row>
    <row r="29" spans="1:31" ht="15" customHeight="1" x14ac:dyDescent="0.3">
      <c r="A29" s="723">
        <v>0</v>
      </c>
      <c r="B29" s="711" t="s">
        <v>118</v>
      </c>
      <c r="C29" s="713" t="s">
        <v>144</v>
      </c>
      <c r="D29" s="711" t="s">
        <v>58</v>
      </c>
      <c r="E29" s="713" t="s">
        <v>116</v>
      </c>
      <c r="F29" s="724">
        <v>44840</v>
      </c>
      <c r="G29" s="724">
        <v>45935</v>
      </c>
      <c r="H29" s="713" t="s">
        <v>168</v>
      </c>
      <c r="I29" s="713" t="s">
        <v>10</v>
      </c>
      <c r="J29" s="711" t="s">
        <v>16</v>
      </c>
      <c r="K29" s="715">
        <v>69</v>
      </c>
      <c r="L29" s="713" t="s">
        <v>161</v>
      </c>
      <c r="M29" s="713" t="s">
        <v>12</v>
      </c>
      <c r="N29" s="717">
        <v>45658</v>
      </c>
      <c r="O29" s="713" t="s">
        <v>0</v>
      </c>
      <c r="P29" s="719">
        <v>44839</v>
      </c>
      <c r="Q29" s="234" t="s">
        <v>10</v>
      </c>
      <c r="R29" s="721" t="s">
        <v>10</v>
      </c>
      <c r="S29" s="742"/>
      <c r="T29" s="721"/>
      <c r="U29" s="721"/>
      <c r="V29" s="736"/>
      <c r="W29" s="736"/>
      <c r="X29" s="736"/>
      <c r="Y29" s="744"/>
      <c r="Z29" s="735"/>
      <c r="AA29" s="230">
        <v>0.5</v>
      </c>
      <c r="AB29" s="231">
        <v>45994</v>
      </c>
      <c r="AC29" s="90">
        <f t="shared" si="1"/>
        <v>2183.9</v>
      </c>
      <c r="AD29" s="232">
        <v>1091.95</v>
      </c>
      <c r="AE29" s="709">
        <v>45970</v>
      </c>
    </row>
    <row r="30" spans="1:31" x14ac:dyDescent="0.3">
      <c r="A30" s="723"/>
      <c r="B30" s="712"/>
      <c r="C30" s="714"/>
      <c r="D30" s="712"/>
      <c r="E30" s="714"/>
      <c r="F30" s="725"/>
      <c r="G30" s="725"/>
      <c r="H30" s="714"/>
      <c r="I30" s="714"/>
      <c r="J30" s="712"/>
      <c r="K30" s="716"/>
      <c r="L30" s="714"/>
      <c r="M30" s="714"/>
      <c r="N30" s="718"/>
      <c r="O30" s="714"/>
      <c r="P30" s="720"/>
      <c r="Q30" s="236"/>
      <c r="R30" s="722"/>
      <c r="S30" s="745"/>
      <c r="T30" s="746"/>
      <c r="U30" s="746"/>
      <c r="V30" s="737"/>
      <c r="W30" s="737"/>
      <c r="X30" s="737"/>
      <c r="Y30" s="740"/>
      <c r="Z30" s="728"/>
      <c r="AA30" s="230">
        <v>0.5</v>
      </c>
      <c r="AB30" s="231">
        <v>46027</v>
      </c>
      <c r="AC30" s="90"/>
      <c r="AD30" s="232">
        <v>-1242.94</v>
      </c>
      <c r="AE30" s="710"/>
    </row>
    <row r="31" spans="1:31" x14ac:dyDescent="0.3">
      <c r="A31" s="723">
        <v>0</v>
      </c>
      <c r="B31" s="711" t="s">
        <v>118</v>
      </c>
      <c r="C31" s="723" t="s">
        <v>145</v>
      </c>
      <c r="D31" s="730" t="s">
        <v>58</v>
      </c>
      <c r="E31" s="723" t="s">
        <v>116</v>
      </c>
      <c r="F31" s="738">
        <v>44840</v>
      </c>
      <c r="G31" s="738">
        <v>45935</v>
      </c>
      <c r="H31" s="723" t="s">
        <v>168</v>
      </c>
      <c r="I31" s="713" t="s">
        <v>10</v>
      </c>
      <c r="J31" s="711" t="s">
        <v>16</v>
      </c>
      <c r="K31" s="715">
        <v>68</v>
      </c>
      <c r="L31" s="713" t="s">
        <v>161</v>
      </c>
      <c r="M31" s="713" t="s">
        <v>12</v>
      </c>
      <c r="N31" s="717">
        <v>45658</v>
      </c>
      <c r="O31" s="713" t="s">
        <v>0</v>
      </c>
      <c r="P31" s="724">
        <v>44839</v>
      </c>
      <c r="Q31" s="234" t="s">
        <v>10</v>
      </c>
      <c r="R31" s="726" t="s">
        <v>10</v>
      </c>
      <c r="S31" s="417"/>
      <c r="T31" s="546"/>
      <c r="U31" s="546"/>
      <c r="V31" s="547"/>
      <c r="W31" s="737"/>
      <c r="X31" s="737"/>
      <c r="Y31" s="740"/>
      <c r="Z31" s="728"/>
      <c r="AA31" s="230">
        <v>0.5</v>
      </c>
      <c r="AB31" s="231">
        <v>45994</v>
      </c>
      <c r="AC31" s="90">
        <f>AD31/AA31</f>
        <v>2183.2800000000002</v>
      </c>
      <c r="AD31" s="232">
        <v>1091.6400000000001</v>
      </c>
      <c r="AE31" s="709">
        <v>45970</v>
      </c>
    </row>
    <row r="32" spans="1:31" x14ac:dyDescent="0.3">
      <c r="A32" s="723"/>
      <c r="B32" s="712"/>
      <c r="C32" s="723"/>
      <c r="D32" s="730"/>
      <c r="E32" s="723"/>
      <c r="F32" s="738"/>
      <c r="G32" s="738"/>
      <c r="H32" s="723"/>
      <c r="I32" s="714"/>
      <c r="J32" s="712"/>
      <c r="K32" s="716"/>
      <c r="L32" s="714"/>
      <c r="M32" s="714"/>
      <c r="N32" s="718"/>
      <c r="O32" s="714"/>
      <c r="P32" s="725"/>
      <c r="Q32" s="236"/>
      <c r="R32" s="727"/>
      <c r="S32" s="418"/>
      <c r="T32" s="415"/>
      <c r="U32" s="415"/>
      <c r="V32" s="419"/>
      <c r="W32" s="739"/>
      <c r="X32" s="739"/>
      <c r="Y32" s="741"/>
      <c r="Z32" s="729"/>
      <c r="AA32" s="230">
        <v>0.5</v>
      </c>
      <c r="AB32" s="231">
        <v>46027</v>
      </c>
      <c r="AC32" s="90"/>
      <c r="AD32" s="232">
        <v>-1242.5899999999999</v>
      </c>
      <c r="AE32" s="710"/>
    </row>
    <row r="33" spans="1:32" ht="28.8" x14ac:dyDescent="0.3">
      <c r="A33" s="4">
        <v>1</v>
      </c>
      <c r="B33" s="3" t="s">
        <v>118</v>
      </c>
      <c r="C33" s="4" t="s">
        <v>146</v>
      </c>
      <c r="D33" s="49" t="s">
        <v>51</v>
      </c>
      <c r="E33" s="51" t="s">
        <v>116</v>
      </c>
      <c r="F33" s="52">
        <v>44754</v>
      </c>
      <c r="G33" s="52">
        <v>45849</v>
      </c>
      <c r="H33" s="4" t="s">
        <v>168</v>
      </c>
      <c r="I33" s="4" t="s">
        <v>159</v>
      </c>
      <c r="J33" s="3" t="s">
        <v>16</v>
      </c>
      <c r="K33" s="9">
        <v>65</v>
      </c>
      <c r="L33" s="4" t="s">
        <v>161</v>
      </c>
      <c r="M33" s="4" t="s">
        <v>12</v>
      </c>
      <c r="N33" s="5">
        <v>45658</v>
      </c>
      <c r="O33" s="4" t="s">
        <v>0</v>
      </c>
      <c r="P33" s="6">
        <v>44754</v>
      </c>
      <c r="Q33" s="7" t="s">
        <v>10</v>
      </c>
      <c r="R33" s="106" t="s">
        <v>10</v>
      </c>
      <c r="S33" s="641"/>
      <c r="T33" s="50"/>
      <c r="U33" s="50"/>
      <c r="V33" s="102"/>
      <c r="W33" s="102"/>
      <c r="X33" s="102"/>
      <c r="Y33" s="631"/>
      <c r="Z33" s="647"/>
      <c r="AA33" s="166">
        <v>0.5</v>
      </c>
      <c r="AB33" s="114">
        <v>45994</v>
      </c>
      <c r="AC33" s="13">
        <f>AD33/AA33</f>
        <v>2407.44</v>
      </c>
      <c r="AD33" s="70">
        <v>1203.72</v>
      </c>
      <c r="AE33" s="113"/>
    </row>
    <row r="34" spans="1:32" ht="29.4" thickBot="1" x14ac:dyDescent="0.35">
      <c r="A34" s="4">
        <v>1</v>
      </c>
      <c r="B34" s="3" t="s">
        <v>118</v>
      </c>
      <c r="C34" s="4" t="s">
        <v>147</v>
      </c>
      <c r="D34" s="3" t="s">
        <v>49</v>
      </c>
      <c r="E34" s="4" t="s">
        <v>116</v>
      </c>
      <c r="F34" s="6">
        <v>44760</v>
      </c>
      <c r="G34" s="6">
        <v>45855</v>
      </c>
      <c r="H34" s="4" t="s">
        <v>168</v>
      </c>
      <c r="I34" s="4" t="s">
        <v>160</v>
      </c>
      <c r="J34" s="3" t="s">
        <v>16</v>
      </c>
      <c r="K34" s="9">
        <v>63</v>
      </c>
      <c r="L34" s="4" t="s">
        <v>161</v>
      </c>
      <c r="M34" s="4" t="s">
        <v>12</v>
      </c>
      <c r="N34" s="5">
        <v>45658</v>
      </c>
      <c r="O34" s="4" t="s">
        <v>0</v>
      </c>
      <c r="P34" s="6">
        <v>44760</v>
      </c>
      <c r="Q34" s="7" t="s">
        <v>10</v>
      </c>
      <c r="R34" s="106" t="s">
        <v>10</v>
      </c>
      <c r="S34" s="178"/>
      <c r="T34" s="179"/>
      <c r="U34" s="179"/>
      <c r="V34" s="642"/>
      <c r="W34" s="642"/>
      <c r="X34" s="642"/>
      <c r="Y34" s="554"/>
      <c r="Z34" s="648"/>
      <c r="AA34" s="173">
        <v>0.62</v>
      </c>
      <c r="AB34" s="117">
        <v>45994</v>
      </c>
      <c r="AC34" s="176">
        <f>AD34/AA34</f>
        <v>2946.3870967741937</v>
      </c>
      <c r="AD34" s="74">
        <v>1826.76</v>
      </c>
      <c r="AE34" s="113"/>
    </row>
    <row r="35" spans="1:32" ht="15" customHeight="1" x14ac:dyDescent="0.3">
      <c r="A35" s="23">
        <f>SUM(A3:A34)</f>
        <v>26</v>
      </c>
      <c r="B35" s="1"/>
      <c r="C35" s="1"/>
      <c r="I35" s="1"/>
      <c r="L35" s="1"/>
      <c r="V35" s="26"/>
      <c r="W35" s="26"/>
      <c r="X35" s="26"/>
      <c r="Y35" s="376"/>
      <c r="Z35" s="376"/>
    </row>
    <row r="36" spans="1:32" ht="15.6" x14ac:dyDescent="0.3">
      <c r="D36" s="180"/>
      <c r="E36"/>
      <c r="F36" s="180"/>
      <c r="G36" s="180"/>
      <c r="H36"/>
      <c r="I36"/>
      <c r="Q36" s="145">
        <f>SUM(Q3:Q34)</f>
        <v>0</v>
      </c>
      <c r="R36" s="143"/>
      <c r="S36" s="136" t="s">
        <v>33</v>
      </c>
      <c r="T36" s="143"/>
      <c r="U36" s="143"/>
      <c r="V36" s="552">
        <f>SUM(V3:V34)</f>
        <v>0</v>
      </c>
      <c r="W36" s="552">
        <f>SUM(W3:W34)</f>
        <v>0</v>
      </c>
      <c r="X36" s="552">
        <f>SUM(X3:X34)</f>
        <v>0</v>
      </c>
      <c r="Z36" s="553">
        <f>SUM(Z3:Z34)</f>
        <v>1</v>
      </c>
      <c r="AA36" s="143"/>
      <c r="AB36" s="144"/>
      <c r="AC36" s="28">
        <f>SUM(AC3:AC34)</f>
        <v>66584.505027808671</v>
      </c>
      <c r="AD36" s="28">
        <f>SUM(AD3:AD34)</f>
        <v>29969.399999999998</v>
      </c>
      <c r="AF36" s="34" t="s">
        <v>23</v>
      </c>
    </row>
    <row r="37" spans="1:32" x14ac:dyDescent="0.3">
      <c r="B37" s="394" t="s">
        <v>82</v>
      </c>
      <c r="D37" s="395">
        <f>SUM(A4+A11+A13+A14+A15+A16+A18+A19+A20+A21+A28+A33+A34)</f>
        <v>13</v>
      </c>
      <c r="E37"/>
      <c r="F37" s="180"/>
      <c r="G37" s="180"/>
      <c r="H37"/>
      <c r="I37"/>
      <c r="S37" s="33"/>
      <c r="W37" s="376"/>
      <c r="X37" s="376"/>
      <c r="Y37" s="376"/>
    </row>
    <row r="38" spans="1:32" ht="15" customHeight="1" x14ac:dyDescent="0.3">
      <c r="B38" s="394" t="s">
        <v>83</v>
      </c>
      <c r="C38"/>
      <c r="D38" s="395">
        <f>SUM(A3+A5+A6+A7+A8+A9+A10+A12+A17+A22+A24+A25+A26+A27+A29+A31)</f>
        <v>13</v>
      </c>
      <c r="E38"/>
      <c r="F38" s="180"/>
      <c r="G38" s="180"/>
      <c r="H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2" ht="15.6" x14ac:dyDescent="0.3">
      <c r="C39"/>
      <c r="D39" s="398">
        <f>SUM(D37:D38)</f>
        <v>26</v>
      </c>
      <c r="E39"/>
      <c r="F39" s="180"/>
      <c r="G39" s="180"/>
      <c r="H39"/>
      <c r="S39" s="139" t="s">
        <v>38</v>
      </c>
      <c r="T39" s="137"/>
      <c r="U39" s="137"/>
      <c r="V39" s="609">
        <f>SUM(V36:X36)</f>
        <v>0</v>
      </c>
      <c r="W39" s="392"/>
      <c r="X39" s="139" t="s">
        <v>39</v>
      </c>
      <c r="Y39" s="541">
        <f>V36</f>
        <v>0</v>
      </c>
      <c r="AA39" s="137"/>
      <c r="AB39" s="139" t="s">
        <v>34</v>
      </c>
      <c r="AC39" s="609">
        <f>SUM(W36:X36)+AD36</f>
        <v>29969.399999999998</v>
      </c>
    </row>
    <row r="40" spans="1:32" ht="15.6" x14ac:dyDescent="0.3">
      <c r="S40" s="141"/>
      <c r="T40" s="137"/>
      <c r="U40" s="137"/>
      <c r="V40" s="137"/>
      <c r="W40" s="137"/>
      <c r="X40" s="137"/>
      <c r="Y40" s="137"/>
      <c r="Z40" s="137"/>
      <c r="AA40" s="137"/>
    </row>
    <row r="41" spans="1:32" ht="15.6" x14ac:dyDescent="0.3">
      <c r="B41" s="45" t="s">
        <v>107</v>
      </c>
      <c r="S41" s="139" t="s">
        <v>112</v>
      </c>
      <c r="T41" s="137"/>
      <c r="U41" s="137"/>
      <c r="V41" s="402" t="s">
        <v>85</v>
      </c>
      <c r="W41" s="402" t="s">
        <v>84</v>
      </c>
      <c r="X41" s="402" t="s">
        <v>40</v>
      </c>
      <c r="Y41" s="402" t="s">
        <v>104</v>
      </c>
      <c r="AA41" s="137"/>
      <c r="AC41" s="14" t="s">
        <v>106</v>
      </c>
      <c r="AD41" s="14" t="s">
        <v>36</v>
      </c>
      <c r="AE41" s="10" t="s">
        <v>24</v>
      </c>
      <c r="AF41" s="10" t="s">
        <v>36</v>
      </c>
    </row>
    <row r="42" spans="1:32" ht="16.2" customHeight="1" x14ac:dyDescent="0.3">
      <c r="B42" s="45" t="s">
        <v>109</v>
      </c>
      <c r="S42" s="380" t="s">
        <v>86</v>
      </c>
      <c r="T42" s="380"/>
      <c r="U42" s="380"/>
      <c r="V42" s="401">
        <f>AD4+AD11+SUM(AD13:AD16)+SUM(AD18:AD21)+AD28+SUM(AD33:AD34)</f>
        <v>16929.170000000002</v>
      </c>
      <c r="W42" s="401">
        <f>V4+V11+SUM(V13:V16)+SUM(V18:V21)+V28+SUM(V33:V34)</f>
        <v>0</v>
      </c>
      <c r="X42" s="401">
        <f>V42-W42</f>
        <v>16929.170000000002</v>
      </c>
      <c r="Y42" s="381">
        <f>W42/V42*100</f>
        <v>0</v>
      </c>
      <c r="AA42" s="137"/>
      <c r="AB42" s="39" t="s">
        <v>32</v>
      </c>
      <c r="AC42" s="38">
        <v>0</v>
      </c>
      <c r="AD42" s="346">
        <f>AC42/AC46*100</f>
        <v>0</v>
      </c>
      <c r="AE42" s="7">
        <v>0</v>
      </c>
      <c r="AF42" s="43" t="e">
        <f>AE42/AE46*100</f>
        <v>#DIV/0!</v>
      </c>
    </row>
    <row r="43" spans="1:32" ht="15.6" x14ac:dyDescent="0.3">
      <c r="S43" s="380" t="s">
        <v>87</v>
      </c>
      <c r="T43" s="380"/>
      <c r="U43" s="380"/>
      <c r="V43" s="401">
        <f>AD3+SUM(AD5:AD10)+AD12+AD17+SUM(AD22:AD27)+SUM(AD29:AD32)</f>
        <v>13040.230000000001</v>
      </c>
      <c r="W43" s="401">
        <f>V3+SUM(V5:V10)+V12+V17+SUM(V22:V27)+SUM(V29:V32)</f>
        <v>0</v>
      </c>
      <c r="X43" s="401">
        <f>V43-W43</f>
        <v>13040.230000000001</v>
      </c>
      <c r="Y43" s="381">
        <f>W43/V43*100</f>
        <v>0</v>
      </c>
      <c r="AA43" s="137"/>
      <c r="AB43" s="40" t="s">
        <v>29</v>
      </c>
      <c r="AC43" s="4">
        <v>0</v>
      </c>
      <c r="AD43" s="43">
        <f>AC43/AC46*100</f>
        <v>0</v>
      </c>
      <c r="AE43" s="7">
        <v>0</v>
      </c>
      <c r="AF43" s="43" t="e">
        <f>AE43/AE46*100</f>
        <v>#DIV/0!</v>
      </c>
    </row>
    <row r="44" spans="1:32" ht="15.6" x14ac:dyDescent="0.3">
      <c r="S44" s="380"/>
      <c r="T44" s="380"/>
      <c r="U44" s="380"/>
      <c r="V44" s="403">
        <f>SUM(V42:V43)</f>
        <v>29969.4</v>
      </c>
      <c r="W44" s="403">
        <f>SUM(W42:W43)</f>
        <v>0</v>
      </c>
      <c r="X44" s="696">
        <f>SUM(X42:X43)</f>
        <v>29969.4</v>
      </c>
      <c r="Y44" s="404">
        <f>W44/V44*100</f>
        <v>0</v>
      </c>
      <c r="AB44" s="39" t="s">
        <v>30</v>
      </c>
      <c r="AC44" s="4">
        <v>1</v>
      </c>
      <c r="AD44" s="43">
        <f>AC44/AC46*100</f>
        <v>100</v>
      </c>
      <c r="AE44" s="7">
        <f>SUM(V15:X15)</f>
        <v>0</v>
      </c>
      <c r="AF44" s="43" t="e">
        <f>AE44/AE46*100</f>
        <v>#DIV/0!</v>
      </c>
    </row>
    <row r="45" spans="1:32" x14ac:dyDescent="0.3">
      <c r="AB45" s="39" t="s">
        <v>31</v>
      </c>
      <c r="AC45" s="16">
        <v>0</v>
      </c>
      <c r="AD45" s="43">
        <f>AC45/AC46*100</f>
        <v>0</v>
      </c>
      <c r="AE45" s="7">
        <v>0</v>
      </c>
      <c r="AF45" s="43" t="e">
        <f>AE45/AE46*100</f>
        <v>#DIV/0!</v>
      </c>
    </row>
    <row r="46" spans="1:32" ht="15.6" x14ac:dyDescent="0.3">
      <c r="S46" s="139" t="s">
        <v>111</v>
      </c>
      <c r="V46" s="402" t="s">
        <v>113</v>
      </c>
      <c r="W46" s="402" t="s">
        <v>114</v>
      </c>
      <c r="X46" s="402" t="s">
        <v>40</v>
      </c>
      <c r="Y46" s="693" t="s">
        <v>108</v>
      </c>
      <c r="AC46" s="41">
        <f>SUM(AC42:AC45)</f>
        <v>1</v>
      </c>
      <c r="AD46" s="44">
        <f>SUM(AD42:AD45)</f>
        <v>100</v>
      </c>
      <c r="AE46" s="42">
        <f>SUM(AE42:AE45)</f>
        <v>0</v>
      </c>
      <c r="AF46" s="44" t="e">
        <f>SUM(AF42:AF45)</f>
        <v>#DIV/0!</v>
      </c>
    </row>
    <row r="47" spans="1:32" ht="15.6" x14ac:dyDescent="0.3">
      <c r="S47" s="380" t="s">
        <v>86</v>
      </c>
      <c r="V47" s="401">
        <f>V4+V11+SUM(V13:V16)+SUM(V18:V21)+V28+SUM(V33:V34)</f>
        <v>0</v>
      </c>
      <c r="W47" s="401">
        <f>SUM(W4:X4)+SUM(W11:X11)+SUM(W13:X16)+SUM(W18:X21)+SUM(W28:X28)+SUM(W33:X34)+AD4+AD11+SUM(AD13:AD16)+SUM(AD18:AD21)+AD28+SUM(AD33:AD34)</f>
        <v>16929.170000000002</v>
      </c>
      <c r="X47" s="401">
        <f>W47-V47</f>
        <v>16929.170000000002</v>
      </c>
      <c r="Y47" s="381">
        <f>V47/W47*100</f>
        <v>0</v>
      </c>
    </row>
    <row r="48" spans="1:32" ht="15.6" x14ac:dyDescent="0.3">
      <c r="S48" s="380" t="s">
        <v>87</v>
      </c>
      <c r="V48" s="401">
        <f>V3+SUM(V5:V10)+V12+V17+SUM(V22:V27)+SUM(V29:V32)</f>
        <v>0</v>
      </c>
      <c r="W48" s="401">
        <f>SUM(W3:X3)+SUM(W5:X10)+SUM(W12:X12)+SUM(W17:X17)+SUM(W22:X27)+SUM(W29:X32)+AD3+SUM(AD5:AD10)+AD12+AD17+SUM(AD22:AD27)+SUM(AD29:AD32)</f>
        <v>13040.230000000001</v>
      </c>
      <c r="X48" s="401">
        <f>W48-V48</f>
        <v>13040.230000000001</v>
      </c>
      <c r="Y48" s="381">
        <f>V48/W48*100</f>
        <v>0</v>
      </c>
    </row>
    <row r="49" spans="22:30" ht="15.6" x14ac:dyDescent="0.3">
      <c r="V49" s="403">
        <f>SUM(V47:V48)</f>
        <v>0</v>
      </c>
      <c r="W49" s="403">
        <f>SUM(W47:W48)</f>
        <v>29969.4</v>
      </c>
      <c r="X49" s="696">
        <f>SUM(X47:X48)</f>
        <v>29969.4</v>
      </c>
      <c r="Y49" s="404">
        <f>V49/W49*100</f>
        <v>0</v>
      </c>
      <c r="AD49" s="1"/>
    </row>
  </sheetData>
  <mergeCells count="95">
    <mergeCell ref="X29:X30"/>
    <mergeCell ref="X31:X32"/>
    <mergeCell ref="Y31:Y32"/>
    <mergeCell ref="S22:S23"/>
    <mergeCell ref="T22:T23"/>
    <mergeCell ref="U22:U23"/>
    <mergeCell ref="V22:V23"/>
    <mergeCell ref="Y22:Y23"/>
    <mergeCell ref="X22:X23"/>
    <mergeCell ref="W22:W23"/>
    <mergeCell ref="W29:W30"/>
    <mergeCell ref="W31:W32"/>
    <mergeCell ref="Y29:Y30"/>
    <mergeCell ref="S29:S30"/>
    <mergeCell ref="T29:T30"/>
    <mergeCell ref="U29:U30"/>
    <mergeCell ref="V29:V30"/>
    <mergeCell ref="E31:E32"/>
    <mergeCell ref="F31:F32"/>
    <mergeCell ref="G31:G32"/>
    <mergeCell ref="D22:D23"/>
    <mergeCell ref="E22:E23"/>
    <mergeCell ref="F22:F23"/>
    <mergeCell ref="G22:G23"/>
    <mergeCell ref="D29:D30"/>
    <mergeCell ref="E29:E30"/>
    <mergeCell ref="F29:F30"/>
    <mergeCell ref="G29:G30"/>
    <mergeCell ref="A1:A2"/>
    <mergeCell ref="A22:A23"/>
    <mergeCell ref="A29:A30"/>
    <mergeCell ref="A31:A32"/>
    <mergeCell ref="S1:Z1"/>
    <mergeCell ref="Z29:Z30"/>
    <mergeCell ref="P22:P23"/>
    <mergeCell ref="R22:R23"/>
    <mergeCell ref="Z22:Z23"/>
    <mergeCell ref="N22:N23"/>
    <mergeCell ref="O22:O23"/>
    <mergeCell ref="B22:B23"/>
    <mergeCell ref="C22:C23"/>
    <mergeCell ref="H22:H23"/>
    <mergeCell ref="I22:I23"/>
    <mergeCell ref="J22:J23"/>
    <mergeCell ref="AE29:AE30"/>
    <mergeCell ref="B31:B32"/>
    <mergeCell ref="C31:C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R31:R32"/>
    <mergeCell ref="Z31:Z32"/>
    <mergeCell ref="AE31:AE32"/>
    <mergeCell ref="D31:D32"/>
    <mergeCell ref="AE22:AE23"/>
    <mergeCell ref="B29:B30"/>
    <mergeCell ref="C29:C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R29:R30"/>
    <mergeCell ref="K22:K23"/>
    <mergeCell ref="L22:L23"/>
    <mergeCell ref="M22:M23"/>
    <mergeCell ref="B1:B2"/>
    <mergeCell ref="C1:C2"/>
    <mergeCell ref="H1:H2"/>
    <mergeCell ref="J1:J2"/>
    <mergeCell ref="K1:K2"/>
    <mergeCell ref="D1:D2"/>
    <mergeCell ref="E1:E2"/>
    <mergeCell ref="F1:G1"/>
    <mergeCell ref="AE1:AE2"/>
    <mergeCell ref="R1:R2"/>
    <mergeCell ref="I1:I2"/>
    <mergeCell ref="AA1:AA2"/>
    <mergeCell ref="AB1:AD1"/>
    <mergeCell ref="L1:L2"/>
    <mergeCell ref="M1:M2"/>
    <mergeCell ref="N1:N2"/>
    <mergeCell ref="O1:O2"/>
    <mergeCell ref="P1:P2"/>
    <mergeCell ref="Q1:Q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263A-5F29-4F40-826B-528AC10BBD71}">
  <dimension ref="A1:AH63"/>
  <sheetViews>
    <sheetView zoomScale="80" zoomScaleNormal="80" workbookViewId="0">
      <pane xSplit="9" topLeftCell="X1" activePane="topRight" state="frozen"/>
      <selection pane="topRight" activeCell="J1" sqref="J1:J1048576"/>
    </sheetView>
  </sheetViews>
  <sheetFormatPr baseColWidth="10" defaultColWidth="11.44140625" defaultRowHeight="14.4" x14ac:dyDescent="0.3"/>
  <cols>
    <col min="1" max="1" width="3.44140625" style="2" bestFit="1" customWidth="1"/>
    <col min="2" max="2" width="12.109375" style="2" bestFit="1" customWidth="1"/>
    <col min="3" max="3" width="15.33203125" style="2" bestFit="1" customWidth="1"/>
    <col min="4" max="4" width="23.44140625" style="1" customWidth="1"/>
    <col min="5" max="7" width="15.33203125" style="2" customWidth="1"/>
    <col min="8" max="8" width="11.44140625" style="2" bestFit="1" customWidth="1"/>
    <col min="9" max="9" width="26.5546875" style="2" bestFit="1" customWidth="1"/>
    <col min="10" max="10" width="8.33203125" style="2" bestFit="1" customWidth="1"/>
    <col min="11" max="11" width="15.6640625" style="2" bestFit="1" customWidth="1"/>
    <col min="12" max="12" width="12.109375" style="2" bestFit="1" customWidth="1"/>
    <col min="13" max="13" width="10.6640625" style="2" bestFit="1" customWidth="1"/>
    <col min="14" max="14" width="15.88671875" style="2" bestFit="1" customWidth="1"/>
    <col min="15" max="15" width="7.88671875" style="2" bestFit="1" customWidth="1"/>
    <col min="16" max="16" width="11.88671875" style="2" bestFit="1" customWidth="1"/>
    <col min="17" max="17" width="14.109375" style="2" bestFit="1" customWidth="1"/>
    <col min="18" max="19" width="11.5546875" style="1" bestFit="1" customWidth="1"/>
    <col min="20" max="20" width="5.5546875" style="1" customWidth="1"/>
    <col min="21" max="21" width="4.44140625" style="1" bestFit="1" customWidth="1"/>
    <col min="22" max="22" width="14.5546875" style="1" bestFit="1" customWidth="1"/>
    <col min="23" max="23" width="14.5546875" style="1" customWidth="1"/>
    <col min="24" max="24" width="18.109375" style="1" customWidth="1"/>
    <col min="25" max="25" width="14.5546875" style="1" customWidth="1"/>
    <col min="26" max="26" width="11.77734375" style="1" customWidth="1"/>
    <col min="27" max="27" width="5.109375" style="1" bestFit="1" customWidth="1"/>
    <col min="28" max="28" width="15.33203125" style="2" customWidth="1"/>
    <col min="29" max="29" width="11.5546875" style="2" customWidth="1"/>
    <col min="30" max="30" width="13.6640625" style="2" customWidth="1"/>
    <col min="31" max="31" width="11.5546875" style="1" bestFit="1" customWidth="1"/>
    <col min="32" max="32" width="6.5546875" style="2" bestFit="1" customWidth="1"/>
    <col min="33" max="16384" width="11.44140625" style="2"/>
  </cols>
  <sheetData>
    <row r="1" spans="1:32" ht="30" customHeight="1" x14ac:dyDescent="0.3">
      <c r="B1" s="700" t="s">
        <v>8</v>
      </c>
      <c r="C1" s="700" t="s">
        <v>19</v>
      </c>
      <c r="D1" s="700" t="s">
        <v>45</v>
      </c>
      <c r="E1" s="700" t="s">
        <v>41</v>
      </c>
      <c r="F1" s="708" t="s">
        <v>42</v>
      </c>
      <c r="G1" s="708"/>
      <c r="H1" s="700" t="s">
        <v>15</v>
      </c>
      <c r="I1" s="700" t="s">
        <v>18</v>
      </c>
      <c r="J1" s="700" t="s">
        <v>7</v>
      </c>
      <c r="K1" s="700" t="s">
        <v>6</v>
      </c>
      <c r="L1" s="700" t="s">
        <v>5</v>
      </c>
      <c r="M1" s="700" t="s">
        <v>11</v>
      </c>
      <c r="N1" s="700" t="s">
        <v>3</v>
      </c>
      <c r="O1" s="700" t="s">
        <v>2</v>
      </c>
      <c r="P1" s="700" t="s">
        <v>4</v>
      </c>
      <c r="Q1" s="707" t="s">
        <v>71</v>
      </c>
      <c r="R1" s="699" t="s">
        <v>22</v>
      </c>
      <c r="S1" s="732" t="s">
        <v>9</v>
      </c>
      <c r="T1" s="733"/>
      <c r="U1" s="733"/>
      <c r="V1" s="733"/>
      <c r="W1" s="733"/>
      <c r="X1" s="733"/>
      <c r="Y1" s="733"/>
      <c r="Z1" s="734"/>
      <c r="AA1" s="702" t="s">
        <v>25</v>
      </c>
      <c r="AB1" s="704" t="s">
        <v>13</v>
      </c>
      <c r="AC1" s="705"/>
      <c r="AD1" s="706"/>
      <c r="AE1" s="697" t="s">
        <v>1</v>
      </c>
      <c r="AF1" s="8"/>
    </row>
    <row r="2" spans="1:32" ht="28.5" customHeight="1" x14ac:dyDescent="0.3">
      <c r="B2" s="701"/>
      <c r="C2" s="701"/>
      <c r="D2" s="701"/>
      <c r="E2" s="701"/>
      <c r="F2" s="14" t="s">
        <v>43</v>
      </c>
      <c r="G2" s="14" t="s">
        <v>44</v>
      </c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699"/>
      <c r="S2" s="108" t="s">
        <v>14</v>
      </c>
      <c r="T2" s="14" t="s">
        <v>27</v>
      </c>
      <c r="U2" s="14" t="s">
        <v>28</v>
      </c>
      <c r="V2" s="14" t="s">
        <v>24</v>
      </c>
      <c r="W2" s="14" t="s">
        <v>110</v>
      </c>
      <c r="X2" s="672" t="s">
        <v>105</v>
      </c>
      <c r="Y2" s="167" t="s">
        <v>81</v>
      </c>
      <c r="Z2" s="94" t="s">
        <v>106</v>
      </c>
      <c r="AA2" s="703"/>
      <c r="AB2" s="68" t="s">
        <v>14</v>
      </c>
      <c r="AC2" s="14" t="s">
        <v>69</v>
      </c>
      <c r="AD2" s="94" t="s">
        <v>70</v>
      </c>
      <c r="AE2" s="698"/>
      <c r="AF2" s="8"/>
    </row>
    <row r="3" spans="1:32" ht="28.8" x14ac:dyDescent="0.3">
      <c r="A3" s="25">
        <v>1</v>
      </c>
      <c r="B3" s="17" t="s">
        <v>118</v>
      </c>
      <c r="C3" s="18" t="s">
        <v>120</v>
      </c>
      <c r="D3" s="17" t="s">
        <v>61</v>
      </c>
      <c r="E3" s="18" t="s">
        <v>115</v>
      </c>
      <c r="F3" s="181"/>
      <c r="G3" s="181"/>
      <c r="H3" s="18" t="s">
        <v>168</v>
      </c>
      <c r="I3" s="18" t="s">
        <v>148</v>
      </c>
      <c r="J3" s="17" t="s">
        <v>16</v>
      </c>
      <c r="K3" s="19">
        <v>96</v>
      </c>
      <c r="L3" s="18" t="s">
        <v>161</v>
      </c>
      <c r="M3" s="18" t="s">
        <v>12</v>
      </c>
      <c r="N3" s="20">
        <v>45658</v>
      </c>
      <c r="O3" s="18" t="s">
        <v>0</v>
      </c>
      <c r="P3" s="21">
        <v>45824</v>
      </c>
      <c r="Q3" s="22">
        <f>715.2/AA3</f>
        <v>1430.4</v>
      </c>
      <c r="R3" s="152">
        <v>45824</v>
      </c>
      <c r="S3" s="168">
        <v>45945</v>
      </c>
      <c r="T3" s="159" t="s">
        <v>30</v>
      </c>
      <c r="U3" s="160"/>
      <c r="V3" s="161">
        <v>194.16</v>
      </c>
      <c r="W3" s="161">
        <v>0</v>
      </c>
      <c r="X3" s="591"/>
      <c r="Y3" s="382">
        <f>V3/AD3*100</f>
        <v>49.432252151331532</v>
      </c>
      <c r="Z3" s="649">
        <v>1</v>
      </c>
      <c r="AA3" s="111">
        <v>0.5</v>
      </c>
      <c r="AB3" s="175">
        <v>45856</v>
      </c>
      <c r="AC3" s="22">
        <f t="shared" ref="AC3:AC11" si="0">Q3</f>
        <v>1430.4</v>
      </c>
      <c r="AD3" s="75">
        <v>392.78</v>
      </c>
      <c r="AE3" s="174"/>
    </row>
    <row r="4" spans="1:32" ht="28.8" x14ac:dyDescent="0.3">
      <c r="A4" s="25">
        <v>1</v>
      </c>
      <c r="B4" s="17" t="s">
        <v>118</v>
      </c>
      <c r="C4" s="18" t="s">
        <v>121</v>
      </c>
      <c r="D4" s="17" t="s">
        <v>62</v>
      </c>
      <c r="E4" s="18" t="s">
        <v>115</v>
      </c>
      <c r="F4" s="21">
        <v>45698</v>
      </c>
      <c r="G4" s="21">
        <v>46792</v>
      </c>
      <c r="H4" s="18" t="s">
        <v>168</v>
      </c>
      <c r="I4" s="18" t="s">
        <v>10</v>
      </c>
      <c r="J4" s="17" t="s">
        <v>16</v>
      </c>
      <c r="K4" s="19">
        <v>95</v>
      </c>
      <c r="L4" s="18" t="s">
        <v>161</v>
      </c>
      <c r="M4" s="18" t="s">
        <v>12</v>
      </c>
      <c r="N4" s="20">
        <v>45658</v>
      </c>
      <c r="O4" s="18" t="s">
        <v>0</v>
      </c>
      <c r="P4" s="21">
        <v>45709</v>
      </c>
      <c r="Q4" s="22">
        <f>896.62/AA4</f>
        <v>1793.24</v>
      </c>
      <c r="R4" s="152">
        <v>45708</v>
      </c>
      <c r="S4" s="610"/>
      <c r="T4" s="611"/>
      <c r="U4" s="612"/>
      <c r="V4" s="613"/>
      <c r="W4" s="613"/>
      <c r="X4" s="613"/>
      <c r="Y4" s="614"/>
      <c r="Z4" s="650"/>
      <c r="AA4" s="111">
        <v>0.5</v>
      </c>
      <c r="AB4" s="175">
        <v>45708</v>
      </c>
      <c r="AC4" s="22">
        <f t="shared" si="0"/>
        <v>1793.24</v>
      </c>
      <c r="AD4" s="75">
        <v>772.07</v>
      </c>
      <c r="AE4" s="174"/>
    </row>
    <row r="5" spans="1:32" ht="28.8" x14ac:dyDescent="0.3">
      <c r="A5" s="25">
        <v>1</v>
      </c>
      <c r="B5" s="17" t="s">
        <v>118</v>
      </c>
      <c r="C5" s="18" t="s">
        <v>122</v>
      </c>
      <c r="D5" s="17" t="s">
        <v>62</v>
      </c>
      <c r="E5" s="18" t="s">
        <v>115</v>
      </c>
      <c r="F5" s="21">
        <v>45709</v>
      </c>
      <c r="G5" s="21">
        <v>46803</v>
      </c>
      <c r="H5" s="18" t="s">
        <v>168</v>
      </c>
      <c r="I5" s="18" t="s">
        <v>10</v>
      </c>
      <c r="J5" s="17" t="s">
        <v>16</v>
      </c>
      <c r="K5" s="19">
        <v>94</v>
      </c>
      <c r="L5" s="18" t="s">
        <v>161</v>
      </c>
      <c r="M5" s="18" t="s">
        <v>12</v>
      </c>
      <c r="N5" s="20">
        <v>45658</v>
      </c>
      <c r="O5" s="18" t="s">
        <v>0</v>
      </c>
      <c r="P5" s="21">
        <v>45709</v>
      </c>
      <c r="Q5" s="22">
        <f>896.62/AA5</f>
        <v>1793.24</v>
      </c>
      <c r="R5" s="152">
        <v>45708</v>
      </c>
      <c r="S5" s="615"/>
      <c r="T5" s="616"/>
      <c r="U5" s="617"/>
      <c r="V5" s="618"/>
      <c r="W5" s="618"/>
      <c r="X5" s="618"/>
      <c r="Y5" s="619"/>
      <c r="Z5" s="651"/>
      <c r="AA5" s="111">
        <v>0.5</v>
      </c>
      <c r="AB5" s="175">
        <v>45708</v>
      </c>
      <c r="AC5" s="22">
        <f t="shared" si="0"/>
        <v>1793.24</v>
      </c>
      <c r="AD5" s="75">
        <v>772.07</v>
      </c>
      <c r="AE5" s="174"/>
    </row>
    <row r="6" spans="1:32" ht="28.8" x14ac:dyDescent="0.3">
      <c r="A6" s="25">
        <v>1</v>
      </c>
      <c r="B6" s="17" t="s">
        <v>118</v>
      </c>
      <c r="C6" s="18" t="s">
        <v>123</v>
      </c>
      <c r="D6" s="17" t="s">
        <v>62</v>
      </c>
      <c r="E6" s="18" t="s">
        <v>115</v>
      </c>
      <c r="F6" s="21">
        <v>45709</v>
      </c>
      <c r="G6" s="21">
        <v>46803</v>
      </c>
      <c r="H6" s="18" t="s">
        <v>168</v>
      </c>
      <c r="I6" s="18" t="s">
        <v>10</v>
      </c>
      <c r="J6" s="17" t="s">
        <v>16</v>
      </c>
      <c r="K6" s="19">
        <v>93</v>
      </c>
      <c r="L6" s="18" t="s">
        <v>161</v>
      </c>
      <c r="M6" s="18" t="s">
        <v>12</v>
      </c>
      <c r="N6" s="20">
        <v>45658</v>
      </c>
      <c r="O6" s="18" t="s">
        <v>0</v>
      </c>
      <c r="P6" s="21">
        <v>45709</v>
      </c>
      <c r="Q6" s="22">
        <f>896.62/AA6</f>
        <v>1793.24</v>
      </c>
      <c r="R6" s="152">
        <v>45708</v>
      </c>
      <c r="S6" s="169">
        <v>45747</v>
      </c>
      <c r="T6" s="156" t="s">
        <v>30</v>
      </c>
      <c r="U6" s="157">
        <v>0</v>
      </c>
      <c r="V6" s="158">
        <v>235</v>
      </c>
      <c r="W6" s="158">
        <v>0</v>
      </c>
      <c r="X6" s="592"/>
      <c r="Y6" s="383">
        <f>V6/AD6*100</f>
        <v>30.437654616809358</v>
      </c>
      <c r="Z6" s="652">
        <v>1</v>
      </c>
      <c r="AA6" s="111">
        <v>0.5</v>
      </c>
      <c r="AB6" s="175">
        <v>45708</v>
      </c>
      <c r="AC6" s="22">
        <f t="shared" si="0"/>
        <v>1793.24</v>
      </c>
      <c r="AD6" s="75">
        <v>772.07</v>
      </c>
      <c r="AE6" s="174"/>
    </row>
    <row r="7" spans="1:32" ht="28.8" x14ac:dyDescent="0.3">
      <c r="A7" s="25">
        <v>1</v>
      </c>
      <c r="B7" s="17" t="s">
        <v>118</v>
      </c>
      <c r="C7" s="18" t="s">
        <v>124</v>
      </c>
      <c r="D7" s="17" t="s">
        <v>62</v>
      </c>
      <c r="E7" s="18" t="s">
        <v>115</v>
      </c>
      <c r="F7" s="21">
        <v>45698</v>
      </c>
      <c r="G7" s="21">
        <v>46792</v>
      </c>
      <c r="H7" s="18" t="s">
        <v>168</v>
      </c>
      <c r="I7" s="18" t="s">
        <v>10</v>
      </c>
      <c r="J7" s="17" t="s">
        <v>16</v>
      </c>
      <c r="K7" s="19">
        <v>92</v>
      </c>
      <c r="L7" s="18" t="s">
        <v>161</v>
      </c>
      <c r="M7" s="18" t="s">
        <v>12</v>
      </c>
      <c r="N7" s="20">
        <v>45658</v>
      </c>
      <c r="O7" s="18" t="s">
        <v>0</v>
      </c>
      <c r="P7" s="21">
        <v>45709</v>
      </c>
      <c r="Q7" s="22">
        <f>896.62/AA7</f>
        <v>1793.24</v>
      </c>
      <c r="R7" s="152">
        <v>45708</v>
      </c>
      <c r="S7" s="170">
        <v>45762</v>
      </c>
      <c r="T7" s="153" t="s">
        <v>30</v>
      </c>
      <c r="U7" s="154">
        <v>0</v>
      </c>
      <c r="V7" s="155">
        <v>282</v>
      </c>
      <c r="W7" s="155">
        <v>0</v>
      </c>
      <c r="X7" s="597"/>
      <c r="Y7" s="384">
        <f>V7/AD7*100</f>
        <v>36.525185540171222</v>
      </c>
      <c r="Z7" s="653">
        <v>1</v>
      </c>
      <c r="AA7" s="111">
        <v>0.5</v>
      </c>
      <c r="AB7" s="175">
        <v>45708</v>
      </c>
      <c r="AC7" s="22">
        <f t="shared" si="0"/>
        <v>1793.24</v>
      </c>
      <c r="AD7" s="75">
        <v>772.07</v>
      </c>
      <c r="AE7" s="174"/>
    </row>
    <row r="8" spans="1:32" ht="28.8" x14ac:dyDescent="0.3">
      <c r="A8" s="25">
        <v>1</v>
      </c>
      <c r="B8" s="17" t="s">
        <v>118</v>
      </c>
      <c r="C8" s="18" t="s">
        <v>125</v>
      </c>
      <c r="D8" s="46" t="s">
        <v>58</v>
      </c>
      <c r="E8" s="18" t="s">
        <v>115</v>
      </c>
      <c r="F8" s="21">
        <v>45698</v>
      </c>
      <c r="G8" s="21">
        <v>46792</v>
      </c>
      <c r="H8" s="18" t="s">
        <v>168</v>
      </c>
      <c r="I8" s="18" t="s">
        <v>10</v>
      </c>
      <c r="J8" s="17" t="s">
        <v>16</v>
      </c>
      <c r="K8" s="19">
        <v>91</v>
      </c>
      <c r="L8" s="18" t="s">
        <v>161</v>
      </c>
      <c r="M8" s="18" t="s">
        <v>12</v>
      </c>
      <c r="N8" s="20">
        <v>45658</v>
      </c>
      <c r="O8" s="18" t="s">
        <v>0</v>
      </c>
      <c r="P8" s="21">
        <v>45671</v>
      </c>
      <c r="Q8" s="22">
        <f>940.67/AA8</f>
        <v>1881.34</v>
      </c>
      <c r="R8" s="152">
        <v>45670</v>
      </c>
      <c r="S8" s="610"/>
      <c r="T8" s="611"/>
      <c r="U8" s="612"/>
      <c r="V8" s="613"/>
      <c r="W8" s="613"/>
      <c r="X8" s="613"/>
      <c r="Y8" s="614"/>
      <c r="Z8" s="650"/>
      <c r="AA8" s="111">
        <v>0.5</v>
      </c>
      <c r="AB8" s="175">
        <v>45670</v>
      </c>
      <c r="AC8" s="22">
        <f t="shared" si="0"/>
        <v>1881.34</v>
      </c>
      <c r="AD8" s="75">
        <v>907.22</v>
      </c>
      <c r="AE8" s="174"/>
    </row>
    <row r="9" spans="1:32" ht="28.8" x14ac:dyDescent="0.3">
      <c r="A9" s="25">
        <v>1</v>
      </c>
      <c r="B9" s="17" t="s">
        <v>118</v>
      </c>
      <c r="C9" s="18" t="s">
        <v>126</v>
      </c>
      <c r="D9" s="46" t="s">
        <v>58</v>
      </c>
      <c r="E9" s="18" t="s">
        <v>115</v>
      </c>
      <c r="F9" s="21">
        <v>45698</v>
      </c>
      <c r="G9" s="21">
        <v>46792</v>
      </c>
      <c r="H9" s="18" t="s">
        <v>168</v>
      </c>
      <c r="I9" s="18" t="s">
        <v>10</v>
      </c>
      <c r="J9" s="17" t="s">
        <v>16</v>
      </c>
      <c r="K9" s="19">
        <v>90</v>
      </c>
      <c r="L9" s="18" t="s">
        <v>161</v>
      </c>
      <c r="M9" s="18" t="s">
        <v>12</v>
      </c>
      <c r="N9" s="20">
        <v>45658</v>
      </c>
      <c r="O9" s="18" t="s">
        <v>0</v>
      </c>
      <c r="P9" s="21">
        <v>45671</v>
      </c>
      <c r="Q9" s="22">
        <f>940.67/AA9</f>
        <v>1881.34</v>
      </c>
      <c r="R9" s="152">
        <v>45670</v>
      </c>
      <c r="S9" s="615"/>
      <c r="T9" s="616"/>
      <c r="U9" s="617"/>
      <c r="V9" s="618"/>
      <c r="W9" s="618"/>
      <c r="X9" s="618"/>
      <c r="Y9" s="619"/>
      <c r="Z9" s="651"/>
      <c r="AA9" s="111">
        <v>0.5</v>
      </c>
      <c r="AB9" s="175">
        <v>45670</v>
      </c>
      <c r="AC9" s="22">
        <f t="shared" si="0"/>
        <v>1881.34</v>
      </c>
      <c r="AD9" s="75">
        <v>907.22</v>
      </c>
      <c r="AE9" s="174"/>
    </row>
    <row r="10" spans="1:32" ht="28.8" x14ac:dyDescent="0.3">
      <c r="A10" s="25">
        <v>1</v>
      </c>
      <c r="B10" s="17" t="s">
        <v>118</v>
      </c>
      <c r="C10" s="18" t="s">
        <v>127</v>
      </c>
      <c r="D10" s="17" t="s">
        <v>63</v>
      </c>
      <c r="E10" s="18" t="s">
        <v>115</v>
      </c>
      <c r="F10" s="21">
        <v>45698</v>
      </c>
      <c r="G10" s="21">
        <v>46792</v>
      </c>
      <c r="H10" s="18" t="s">
        <v>168</v>
      </c>
      <c r="I10" s="18" t="s">
        <v>149</v>
      </c>
      <c r="J10" s="17" t="s">
        <v>16</v>
      </c>
      <c r="K10" s="19">
        <v>89</v>
      </c>
      <c r="L10" s="18" t="s">
        <v>161</v>
      </c>
      <c r="M10" s="18" t="s">
        <v>12</v>
      </c>
      <c r="N10" s="20">
        <v>45658</v>
      </c>
      <c r="O10" s="18" t="s">
        <v>0</v>
      </c>
      <c r="P10" s="21">
        <v>45671</v>
      </c>
      <c r="Q10" s="22">
        <f>1125.68/AA10</f>
        <v>2251.36</v>
      </c>
      <c r="R10" s="152">
        <v>45670</v>
      </c>
      <c r="S10" s="627">
        <v>45776</v>
      </c>
      <c r="T10" s="625" t="s">
        <v>29</v>
      </c>
      <c r="U10" s="17">
        <v>100</v>
      </c>
      <c r="V10" s="544">
        <v>4602</v>
      </c>
      <c r="W10" s="544">
        <v>658</v>
      </c>
      <c r="X10" s="555"/>
      <c r="Y10" s="626">
        <f>V10/AD10*100</f>
        <v>423.90523387557346</v>
      </c>
      <c r="Z10" s="643">
        <v>1</v>
      </c>
      <c r="AA10" s="111">
        <v>0.5</v>
      </c>
      <c r="AB10" s="175">
        <v>45670</v>
      </c>
      <c r="AC10" s="22">
        <f t="shared" si="0"/>
        <v>2251.36</v>
      </c>
      <c r="AD10" s="75">
        <v>1085.6199999999999</v>
      </c>
      <c r="AE10" s="174"/>
    </row>
    <row r="11" spans="1:32" ht="28.8" x14ac:dyDescent="0.3">
      <c r="A11" s="25">
        <v>1</v>
      </c>
      <c r="B11" s="17" t="s">
        <v>118</v>
      </c>
      <c r="C11" s="18" t="s">
        <v>128</v>
      </c>
      <c r="D11" s="17" t="s">
        <v>62</v>
      </c>
      <c r="E11" s="18" t="s">
        <v>115</v>
      </c>
      <c r="F11" s="21">
        <v>45698</v>
      </c>
      <c r="G11" s="21">
        <v>46792</v>
      </c>
      <c r="H11" s="18" t="s">
        <v>168</v>
      </c>
      <c r="I11" s="18" t="s">
        <v>10</v>
      </c>
      <c r="J11" s="17" t="s">
        <v>16</v>
      </c>
      <c r="K11" s="19">
        <v>88</v>
      </c>
      <c r="L11" s="18" t="s">
        <v>161</v>
      </c>
      <c r="M11" s="18" t="s">
        <v>12</v>
      </c>
      <c r="N11" s="20">
        <v>45658</v>
      </c>
      <c r="O11" s="18" t="s">
        <v>0</v>
      </c>
      <c r="P11" s="21">
        <v>45671</v>
      </c>
      <c r="Q11" s="22">
        <f>921.1/AA11</f>
        <v>1842.2</v>
      </c>
      <c r="R11" s="152">
        <v>45670</v>
      </c>
      <c r="S11" s="628"/>
      <c r="T11" s="621"/>
      <c r="U11" s="622"/>
      <c r="V11" s="623"/>
      <c r="W11" s="623"/>
      <c r="X11" s="623"/>
      <c r="Y11" s="624"/>
      <c r="Z11" s="654"/>
      <c r="AA11" s="111">
        <v>0.5</v>
      </c>
      <c r="AB11" s="175">
        <v>45670</v>
      </c>
      <c r="AC11" s="22">
        <f t="shared" si="0"/>
        <v>1842.2</v>
      </c>
      <c r="AD11" s="75">
        <v>888.36</v>
      </c>
      <c r="AE11" s="174"/>
    </row>
    <row r="12" spans="1:32" ht="28.8" x14ac:dyDescent="0.3">
      <c r="A12" s="4">
        <v>1</v>
      </c>
      <c r="B12" s="3" t="s">
        <v>118</v>
      </c>
      <c r="C12" s="4" t="s">
        <v>129</v>
      </c>
      <c r="D12" s="3" t="s">
        <v>52</v>
      </c>
      <c r="E12" s="4" t="s">
        <v>115</v>
      </c>
      <c r="F12" s="6">
        <v>45644</v>
      </c>
      <c r="G12" s="6">
        <v>46738</v>
      </c>
      <c r="H12" s="4" t="s">
        <v>168</v>
      </c>
      <c r="I12" s="4" t="s">
        <v>150</v>
      </c>
      <c r="J12" s="3" t="s">
        <v>16</v>
      </c>
      <c r="K12" s="9">
        <v>87</v>
      </c>
      <c r="L12" s="4" t="s">
        <v>161</v>
      </c>
      <c r="M12" s="4" t="s">
        <v>12</v>
      </c>
      <c r="N12" s="5">
        <v>45658</v>
      </c>
      <c r="O12" s="4" t="s">
        <v>0</v>
      </c>
      <c r="P12" s="6">
        <v>45644</v>
      </c>
      <c r="Q12" s="7" t="s">
        <v>10</v>
      </c>
      <c r="R12" s="106" t="s">
        <v>10</v>
      </c>
      <c r="S12" s="172">
        <v>45966</v>
      </c>
      <c r="T12" s="12" t="s">
        <v>31</v>
      </c>
      <c r="U12" s="12"/>
      <c r="V12" s="543"/>
      <c r="W12" s="543">
        <v>658</v>
      </c>
      <c r="X12" s="556"/>
      <c r="Y12" s="393">
        <f>V12/AD12*100</f>
        <v>0</v>
      </c>
      <c r="Z12" s="645">
        <v>1</v>
      </c>
      <c r="AA12" s="166">
        <v>0.5</v>
      </c>
      <c r="AB12" s="114">
        <v>45665</v>
      </c>
      <c r="AC12" s="7">
        <f>AD12/AA12</f>
        <v>2274.84</v>
      </c>
      <c r="AD12" s="70">
        <v>1137.42</v>
      </c>
      <c r="AE12" s="113"/>
    </row>
    <row r="13" spans="1:32" ht="28.8" x14ac:dyDescent="0.3">
      <c r="A13" s="4">
        <v>1</v>
      </c>
      <c r="B13" s="3" t="s">
        <v>118</v>
      </c>
      <c r="C13" s="4" t="s">
        <v>130</v>
      </c>
      <c r="D13" s="49" t="s">
        <v>57</v>
      </c>
      <c r="E13" s="51" t="s">
        <v>116</v>
      </c>
      <c r="F13" s="52">
        <v>44908</v>
      </c>
      <c r="G13" s="52">
        <v>46003</v>
      </c>
      <c r="H13" s="4" t="s">
        <v>168</v>
      </c>
      <c r="I13" s="4" t="s">
        <v>151</v>
      </c>
      <c r="J13" s="3" t="s">
        <v>16</v>
      </c>
      <c r="K13" s="9">
        <v>86</v>
      </c>
      <c r="L13" s="4" t="s">
        <v>161</v>
      </c>
      <c r="M13" s="4" t="s">
        <v>12</v>
      </c>
      <c r="N13" s="5">
        <v>45658</v>
      </c>
      <c r="O13" s="4" t="s">
        <v>0</v>
      </c>
      <c r="P13" s="6">
        <v>45324</v>
      </c>
      <c r="Q13" s="7" t="s">
        <v>10</v>
      </c>
      <c r="R13" s="106" t="s">
        <v>10</v>
      </c>
      <c r="S13" s="601"/>
      <c r="T13" s="584"/>
      <c r="U13" s="584"/>
      <c r="V13" s="585"/>
      <c r="W13" s="585"/>
      <c r="X13" s="585"/>
      <c r="Y13" s="586"/>
      <c r="Z13" s="655"/>
      <c r="AA13" s="173">
        <v>0.62</v>
      </c>
      <c r="AB13" s="114">
        <v>45630</v>
      </c>
      <c r="AC13" s="7">
        <f>AD13/AA13</f>
        <v>2159.0967741935488</v>
      </c>
      <c r="AD13" s="70">
        <v>1338.64</v>
      </c>
      <c r="AE13" s="113"/>
    </row>
    <row r="14" spans="1:32" ht="28.8" x14ac:dyDescent="0.3">
      <c r="A14" s="4">
        <v>1</v>
      </c>
      <c r="B14" s="3" t="s">
        <v>118</v>
      </c>
      <c r="C14" s="4" t="s">
        <v>131</v>
      </c>
      <c r="D14" s="49" t="s">
        <v>54</v>
      </c>
      <c r="E14" s="51" t="s">
        <v>116</v>
      </c>
      <c r="F14" s="52">
        <v>44835</v>
      </c>
      <c r="G14" s="52">
        <v>45929</v>
      </c>
      <c r="H14" s="4" t="s">
        <v>168</v>
      </c>
      <c r="I14" s="4" t="s">
        <v>152</v>
      </c>
      <c r="J14" s="3" t="s">
        <v>16</v>
      </c>
      <c r="K14" s="9">
        <v>85</v>
      </c>
      <c r="L14" s="4" t="s">
        <v>161</v>
      </c>
      <c r="M14" s="4" t="s">
        <v>12</v>
      </c>
      <c r="N14" s="5">
        <v>45658</v>
      </c>
      <c r="O14" s="4" t="s">
        <v>0</v>
      </c>
      <c r="P14" s="6">
        <v>45435</v>
      </c>
      <c r="Q14" s="7" t="s">
        <v>10</v>
      </c>
      <c r="R14" s="106" t="s">
        <v>10</v>
      </c>
      <c r="S14" s="601"/>
      <c r="T14" s="584"/>
      <c r="U14" s="584"/>
      <c r="V14" s="585"/>
      <c r="W14" s="585"/>
      <c r="X14" s="585"/>
      <c r="Y14" s="586"/>
      <c r="Z14" s="655"/>
      <c r="AA14" s="166">
        <v>0.5</v>
      </c>
      <c r="AB14" s="114">
        <v>45630</v>
      </c>
      <c r="AC14" s="7">
        <f t="shared" ref="AC14:AC29" si="1">AD14/AA14</f>
        <v>2038.46</v>
      </c>
      <c r="AD14" s="70">
        <v>1019.23</v>
      </c>
      <c r="AE14" s="113"/>
    </row>
    <row r="15" spans="1:32" x14ac:dyDescent="0.3">
      <c r="A15" s="747">
        <v>1</v>
      </c>
      <c r="B15" s="769" t="s">
        <v>118</v>
      </c>
      <c r="C15" s="749" t="s">
        <v>162</v>
      </c>
      <c r="D15" s="730" t="s">
        <v>55</v>
      </c>
      <c r="E15" s="723" t="s">
        <v>115</v>
      </c>
      <c r="F15" s="738">
        <v>45212</v>
      </c>
      <c r="G15" s="738">
        <v>46307</v>
      </c>
      <c r="H15" s="747" t="s">
        <v>168</v>
      </c>
      <c r="I15" s="747" t="s">
        <v>169</v>
      </c>
      <c r="J15" s="770" t="s">
        <v>16</v>
      </c>
      <c r="K15" s="715">
        <v>84</v>
      </c>
      <c r="L15" s="747" t="s">
        <v>161</v>
      </c>
      <c r="M15" s="747" t="s">
        <v>12</v>
      </c>
      <c r="N15" s="798">
        <v>45658</v>
      </c>
      <c r="O15" s="747" t="s">
        <v>0</v>
      </c>
      <c r="P15" s="796">
        <v>45435</v>
      </c>
      <c r="Q15" s="213" t="s">
        <v>10</v>
      </c>
      <c r="R15" s="797">
        <v>45880</v>
      </c>
      <c r="S15" s="790"/>
      <c r="T15" s="792"/>
      <c r="U15" s="792"/>
      <c r="V15" s="794"/>
      <c r="W15" s="794"/>
      <c r="X15" s="794"/>
      <c r="Y15" s="373"/>
      <c r="Z15" s="809"/>
      <c r="AA15" s="149">
        <v>0.5</v>
      </c>
      <c r="AB15" s="221">
        <v>45630</v>
      </c>
      <c r="AC15" s="59">
        <f t="shared" si="1"/>
        <v>2215.2600000000002</v>
      </c>
      <c r="AD15" s="222">
        <v>1107.6300000000001</v>
      </c>
      <c r="AE15" s="805"/>
    </row>
    <row r="16" spans="1:32" x14ac:dyDescent="0.3">
      <c r="A16" s="748"/>
      <c r="B16" s="769"/>
      <c r="C16" s="749"/>
      <c r="D16" s="730"/>
      <c r="E16" s="723"/>
      <c r="F16" s="738"/>
      <c r="G16" s="738"/>
      <c r="H16" s="748"/>
      <c r="I16" s="748"/>
      <c r="J16" s="771"/>
      <c r="K16" s="716"/>
      <c r="L16" s="748"/>
      <c r="M16" s="748"/>
      <c r="N16" s="799"/>
      <c r="O16" s="748"/>
      <c r="P16" s="796"/>
      <c r="Q16" s="197"/>
      <c r="R16" s="797"/>
      <c r="S16" s="791"/>
      <c r="T16" s="793"/>
      <c r="U16" s="793"/>
      <c r="V16" s="795"/>
      <c r="W16" s="795"/>
      <c r="X16" s="795"/>
      <c r="Y16" s="374"/>
      <c r="Z16" s="810"/>
      <c r="AA16" s="149">
        <v>0.5</v>
      </c>
      <c r="AB16" s="221">
        <v>45880</v>
      </c>
      <c r="AC16" s="59">
        <f t="shared" si="1"/>
        <v>-700.68</v>
      </c>
      <c r="AD16" s="223">
        <v>-350.34</v>
      </c>
      <c r="AE16" s="806"/>
    </row>
    <row r="17" spans="1:31" ht="28.8" x14ac:dyDescent="0.3">
      <c r="A17" s="4">
        <v>1</v>
      </c>
      <c r="B17" s="3" t="s">
        <v>118</v>
      </c>
      <c r="C17" s="4" t="s">
        <v>132</v>
      </c>
      <c r="D17" s="49" t="s">
        <v>53</v>
      </c>
      <c r="E17" s="51" t="s">
        <v>116</v>
      </c>
      <c r="F17" s="52">
        <v>45177</v>
      </c>
      <c r="G17" s="52">
        <v>46272</v>
      </c>
      <c r="H17" s="4" t="s">
        <v>168</v>
      </c>
      <c r="I17" s="4" t="s">
        <v>153</v>
      </c>
      <c r="J17" s="3" t="s">
        <v>16</v>
      </c>
      <c r="K17" s="9">
        <v>83</v>
      </c>
      <c r="L17" s="4" t="s">
        <v>161</v>
      </c>
      <c r="M17" s="4" t="s">
        <v>12</v>
      </c>
      <c r="N17" s="5">
        <v>45658</v>
      </c>
      <c r="O17" s="4" t="s">
        <v>0</v>
      </c>
      <c r="P17" s="6">
        <v>45435</v>
      </c>
      <c r="Q17" s="7" t="s">
        <v>10</v>
      </c>
      <c r="R17" s="106" t="s">
        <v>10</v>
      </c>
      <c r="S17" s="601"/>
      <c r="T17" s="584"/>
      <c r="U17" s="584"/>
      <c r="V17" s="585"/>
      <c r="W17" s="585"/>
      <c r="X17" s="585"/>
      <c r="Y17" s="586"/>
      <c r="Z17" s="655"/>
      <c r="AA17" s="166">
        <v>0.5</v>
      </c>
      <c r="AB17" s="114">
        <v>45630</v>
      </c>
      <c r="AC17" s="7">
        <f t="shared" si="1"/>
        <v>2239.66</v>
      </c>
      <c r="AD17" s="70">
        <v>1119.83</v>
      </c>
      <c r="AE17" s="113"/>
    </row>
    <row r="18" spans="1:31" ht="28.8" x14ac:dyDescent="0.3">
      <c r="A18" s="4">
        <v>1</v>
      </c>
      <c r="B18" s="3" t="s">
        <v>118</v>
      </c>
      <c r="C18" s="4" t="s">
        <v>133</v>
      </c>
      <c r="D18" s="49" t="s">
        <v>53</v>
      </c>
      <c r="E18" s="51" t="s">
        <v>116</v>
      </c>
      <c r="F18" s="52">
        <v>45089</v>
      </c>
      <c r="G18" s="52">
        <v>46184</v>
      </c>
      <c r="H18" s="4" t="s">
        <v>168</v>
      </c>
      <c r="I18" s="4" t="s">
        <v>10</v>
      </c>
      <c r="J18" s="3" t="s">
        <v>16</v>
      </c>
      <c r="K18" s="9">
        <v>82</v>
      </c>
      <c r="L18" s="4" t="s">
        <v>161</v>
      </c>
      <c r="M18" s="4" t="s">
        <v>12</v>
      </c>
      <c r="N18" s="5">
        <v>45658</v>
      </c>
      <c r="O18" s="4" t="s">
        <v>0</v>
      </c>
      <c r="P18" s="6">
        <v>45435</v>
      </c>
      <c r="Q18" s="7" t="s">
        <v>10</v>
      </c>
      <c r="R18" s="106" t="s">
        <v>10</v>
      </c>
      <c r="S18" s="601"/>
      <c r="T18" s="584"/>
      <c r="U18" s="584"/>
      <c r="V18" s="585"/>
      <c r="W18" s="585"/>
      <c r="X18" s="585"/>
      <c r="Y18" s="586"/>
      <c r="Z18" s="655"/>
      <c r="AA18" s="166">
        <v>0.5</v>
      </c>
      <c r="AB18" s="114">
        <v>45630</v>
      </c>
      <c r="AC18" s="7">
        <f t="shared" si="1"/>
        <v>2336.98</v>
      </c>
      <c r="AD18" s="70">
        <v>1168.49</v>
      </c>
      <c r="AE18" s="113"/>
    </row>
    <row r="19" spans="1:31" ht="28.8" x14ac:dyDescent="0.3">
      <c r="A19" s="4">
        <v>1</v>
      </c>
      <c r="B19" s="3" t="s">
        <v>118</v>
      </c>
      <c r="C19" s="4" t="s">
        <v>134</v>
      </c>
      <c r="D19" s="49" t="s">
        <v>56</v>
      </c>
      <c r="E19" s="51" t="s">
        <v>116</v>
      </c>
      <c r="F19" s="52">
        <v>45089</v>
      </c>
      <c r="G19" s="52">
        <v>46184</v>
      </c>
      <c r="H19" s="4" t="s">
        <v>168</v>
      </c>
      <c r="I19" s="4" t="s">
        <v>154</v>
      </c>
      <c r="J19" s="3" t="s">
        <v>16</v>
      </c>
      <c r="K19" s="9">
        <v>81</v>
      </c>
      <c r="L19" s="4" t="s">
        <v>161</v>
      </c>
      <c r="M19" s="4" t="s">
        <v>12</v>
      </c>
      <c r="N19" s="5">
        <v>45658</v>
      </c>
      <c r="O19" s="4" t="s">
        <v>0</v>
      </c>
      <c r="P19" s="6">
        <v>45435</v>
      </c>
      <c r="Q19" s="7" t="s">
        <v>10</v>
      </c>
      <c r="R19" s="106" t="s">
        <v>10</v>
      </c>
      <c r="S19" s="601"/>
      <c r="T19" s="584"/>
      <c r="U19" s="584"/>
      <c r="V19" s="585"/>
      <c r="W19" s="585"/>
      <c r="X19" s="585"/>
      <c r="Y19" s="586"/>
      <c r="Z19" s="655"/>
      <c r="AA19" s="166">
        <v>0.5</v>
      </c>
      <c r="AB19" s="114">
        <v>45630</v>
      </c>
      <c r="AC19" s="7">
        <f t="shared" si="1"/>
        <v>2240.04</v>
      </c>
      <c r="AD19" s="70">
        <v>1120.02</v>
      </c>
      <c r="AE19" s="807"/>
    </row>
    <row r="20" spans="1:31" ht="30.75" customHeight="1" x14ac:dyDescent="0.3">
      <c r="A20" s="4">
        <v>1</v>
      </c>
      <c r="B20" s="3" t="s">
        <v>118</v>
      </c>
      <c r="C20" s="4" t="s">
        <v>135</v>
      </c>
      <c r="D20" s="49" t="s">
        <v>59</v>
      </c>
      <c r="E20" s="51" t="s">
        <v>117</v>
      </c>
      <c r="F20" s="52">
        <v>45076</v>
      </c>
      <c r="G20" s="52">
        <v>46171</v>
      </c>
      <c r="H20" s="4" t="s">
        <v>168</v>
      </c>
      <c r="I20" s="4" t="s">
        <v>155</v>
      </c>
      <c r="J20" s="3" t="s">
        <v>16</v>
      </c>
      <c r="K20" s="9">
        <v>80</v>
      </c>
      <c r="L20" s="4" t="s">
        <v>161</v>
      </c>
      <c r="M20" s="4" t="s">
        <v>12</v>
      </c>
      <c r="N20" s="5">
        <v>45658</v>
      </c>
      <c r="O20" s="4" t="s">
        <v>0</v>
      </c>
      <c r="P20" s="6">
        <v>45435</v>
      </c>
      <c r="Q20" s="7" t="s">
        <v>10</v>
      </c>
      <c r="R20" s="106" t="s">
        <v>10</v>
      </c>
      <c r="S20" s="601"/>
      <c r="T20" s="584"/>
      <c r="U20" s="584"/>
      <c r="V20" s="585"/>
      <c r="W20" s="585"/>
      <c r="X20" s="585"/>
      <c r="Y20" s="586"/>
      <c r="Z20" s="655"/>
      <c r="AA20" s="166">
        <v>0.5</v>
      </c>
      <c r="AB20" s="114">
        <v>45630</v>
      </c>
      <c r="AC20" s="7">
        <f t="shared" si="1"/>
        <v>4577.28</v>
      </c>
      <c r="AD20" s="70">
        <v>2288.64</v>
      </c>
      <c r="AE20" s="808"/>
    </row>
    <row r="21" spans="1:31" ht="28.8" x14ac:dyDescent="0.3">
      <c r="A21" s="4">
        <v>1</v>
      </c>
      <c r="B21" s="3" t="s">
        <v>118</v>
      </c>
      <c r="C21" s="4" t="s">
        <v>136</v>
      </c>
      <c r="D21" s="49" t="s">
        <v>53</v>
      </c>
      <c r="E21" s="51" t="s">
        <v>116</v>
      </c>
      <c r="F21" s="52">
        <v>45027</v>
      </c>
      <c r="G21" s="52">
        <v>46122</v>
      </c>
      <c r="H21" s="4" t="s">
        <v>168</v>
      </c>
      <c r="I21" s="4" t="s">
        <v>156</v>
      </c>
      <c r="J21" s="3" t="s">
        <v>16</v>
      </c>
      <c r="K21" s="9">
        <v>79</v>
      </c>
      <c r="L21" s="4" t="s">
        <v>161</v>
      </c>
      <c r="M21" s="4" t="s">
        <v>12</v>
      </c>
      <c r="N21" s="5">
        <v>45658</v>
      </c>
      <c r="O21" s="4" t="s">
        <v>0</v>
      </c>
      <c r="P21" s="6">
        <v>45435</v>
      </c>
      <c r="Q21" s="7" t="s">
        <v>10</v>
      </c>
      <c r="R21" s="106" t="s">
        <v>10</v>
      </c>
      <c r="S21" s="602">
        <v>45838</v>
      </c>
      <c r="T21" s="3" t="s">
        <v>32</v>
      </c>
      <c r="U21" s="3">
        <v>0</v>
      </c>
      <c r="V21" s="29">
        <v>2194</v>
      </c>
      <c r="W21" s="29">
        <v>479</v>
      </c>
      <c r="X21" s="557"/>
      <c r="Y21" s="375">
        <f>V21/AD21*100</f>
        <v>181.8287296022807</v>
      </c>
      <c r="Z21" s="644">
        <v>1</v>
      </c>
      <c r="AA21" s="166">
        <v>0.5</v>
      </c>
      <c r="AB21" s="114">
        <v>45630</v>
      </c>
      <c r="AC21" s="7">
        <f t="shared" si="1"/>
        <v>2413.2600000000002</v>
      </c>
      <c r="AD21" s="70">
        <v>1206.6300000000001</v>
      </c>
      <c r="AE21" s="113"/>
    </row>
    <row r="22" spans="1:31" ht="28.8" x14ac:dyDescent="0.3">
      <c r="A22" s="4">
        <v>1</v>
      </c>
      <c r="B22" s="3" t="s">
        <v>118</v>
      </c>
      <c r="C22" s="4" t="s">
        <v>137</v>
      </c>
      <c r="D22" s="49" t="s">
        <v>54</v>
      </c>
      <c r="E22" s="51" t="s">
        <v>116</v>
      </c>
      <c r="F22" s="52">
        <v>44978</v>
      </c>
      <c r="G22" s="52">
        <v>46073</v>
      </c>
      <c r="H22" s="4" t="s">
        <v>168</v>
      </c>
      <c r="I22" s="4" t="s">
        <v>157</v>
      </c>
      <c r="J22" s="3" t="s">
        <v>16</v>
      </c>
      <c r="K22" s="9">
        <v>78</v>
      </c>
      <c r="L22" s="4" t="s">
        <v>161</v>
      </c>
      <c r="M22" s="4" t="s">
        <v>12</v>
      </c>
      <c r="N22" s="5">
        <v>45658</v>
      </c>
      <c r="O22" s="4" t="s">
        <v>0</v>
      </c>
      <c r="P22" s="6">
        <v>45435</v>
      </c>
      <c r="Q22" s="7" t="s">
        <v>10</v>
      </c>
      <c r="R22" s="106" t="s">
        <v>10</v>
      </c>
      <c r="S22" s="601"/>
      <c r="T22" s="584"/>
      <c r="U22" s="584"/>
      <c r="V22" s="585"/>
      <c r="W22" s="585"/>
      <c r="X22" s="585"/>
      <c r="Y22" s="586"/>
      <c r="Z22" s="655"/>
      <c r="AA22" s="166">
        <v>0.5</v>
      </c>
      <c r="AB22" s="114">
        <v>45630</v>
      </c>
      <c r="AC22" s="7">
        <f t="shared" si="1"/>
        <v>2117.12</v>
      </c>
      <c r="AD22" s="70">
        <v>1058.56</v>
      </c>
      <c r="AE22" s="113"/>
    </row>
    <row r="23" spans="1:31" ht="28.8" x14ac:dyDescent="0.3">
      <c r="A23" s="219">
        <v>0</v>
      </c>
      <c r="B23" s="538" t="s">
        <v>118</v>
      </c>
      <c r="C23" s="219" t="s">
        <v>138</v>
      </c>
      <c r="D23" s="218" t="s">
        <v>58</v>
      </c>
      <c r="E23" s="219" t="s">
        <v>116</v>
      </c>
      <c r="F23" s="220">
        <v>44915</v>
      </c>
      <c r="G23" s="220">
        <v>46010</v>
      </c>
      <c r="H23" s="219" t="s">
        <v>168</v>
      </c>
      <c r="I23" s="219" t="s">
        <v>10</v>
      </c>
      <c r="J23" s="218" t="s">
        <v>16</v>
      </c>
      <c r="K23" s="224">
        <v>77</v>
      </c>
      <c r="L23" s="219" t="s">
        <v>161</v>
      </c>
      <c r="M23" s="219" t="s">
        <v>12</v>
      </c>
      <c r="N23" s="225">
        <v>45658</v>
      </c>
      <c r="O23" s="219" t="s">
        <v>0</v>
      </c>
      <c r="P23" s="220">
        <v>44908</v>
      </c>
      <c r="Q23" s="90" t="s">
        <v>10</v>
      </c>
      <c r="R23" s="226" t="s">
        <v>10</v>
      </c>
      <c r="S23" s="603">
        <v>45686</v>
      </c>
      <c r="T23" s="218" t="s">
        <v>30</v>
      </c>
      <c r="U23" s="218">
        <v>0</v>
      </c>
      <c r="V23" s="545">
        <v>219</v>
      </c>
      <c r="W23" s="545">
        <v>0</v>
      </c>
      <c r="X23" s="558"/>
      <c r="Y23" s="600">
        <f>V23/AD23*100</f>
        <v>17.221448960815305</v>
      </c>
      <c r="Z23" s="656">
        <v>1</v>
      </c>
      <c r="AA23" s="230">
        <v>0.5</v>
      </c>
      <c r="AB23" s="231">
        <v>45630</v>
      </c>
      <c r="AC23" s="90">
        <f t="shared" si="1"/>
        <v>2543.34</v>
      </c>
      <c r="AD23" s="232">
        <v>1271.67</v>
      </c>
      <c r="AE23" s="233">
        <v>46010</v>
      </c>
    </row>
    <row r="24" spans="1:31" ht="28.8" x14ac:dyDescent="0.3">
      <c r="A24" s="4">
        <v>1</v>
      </c>
      <c r="B24" s="3" t="s">
        <v>118</v>
      </c>
      <c r="C24" s="4" t="s">
        <v>139</v>
      </c>
      <c r="D24" s="49" t="s">
        <v>53</v>
      </c>
      <c r="E24" s="51" t="s">
        <v>116</v>
      </c>
      <c r="F24" s="52">
        <v>44878</v>
      </c>
      <c r="G24" s="6">
        <v>45973</v>
      </c>
      <c r="H24" s="4" t="s">
        <v>168</v>
      </c>
      <c r="I24" s="4" t="s">
        <v>10</v>
      </c>
      <c r="J24" s="3" t="s">
        <v>16</v>
      </c>
      <c r="K24" s="9">
        <v>75</v>
      </c>
      <c r="L24" s="4" t="s">
        <v>161</v>
      </c>
      <c r="M24" s="4" t="s">
        <v>12</v>
      </c>
      <c r="N24" s="5">
        <v>45658</v>
      </c>
      <c r="O24" s="4" t="s">
        <v>0</v>
      </c>
      <c r="P24" s="6">
        <v>45405</v>
      </c>
      <c r="Q24" s="7" t="s">
        <v>10</v>
      </c>
      <c r="R24" s="106" t="s">
        <v>10</v>
      </c>
      <c r="S24" s="604"/>
      <c r="T24" s="581"/>
      <c r="U24" s="581"/>
      <c r="V24" s="582"/>
      <c r="W24" s="582"/>
      <c r="X24" s="582"/>
      <c r="Y24" s="583"/>
      <c r="Z24" s="657"/>
      <c r="AA24" s="166">
        <v>0.5</v>
      </c>
      <c r="AB24" s="114">
        <v>45630</v>
      </c>
      <c r="AC24" s="13">
        <f t="shared" si="1"/>
        <v>2083.1999999999998</v>
      </c>
      <c r="AD24" s="70">
        <v>1041.5999999999999</v>
      </c>
      <c r="AE24" s="113"/>
    </row>
    <row r="25" spans="1:31" ht="28.8" x14ac:dyDescent="0.3">
      <c r="A25" s="4">
        <v>1</v>
      </c>
      <c r="B25" s="3" t="s">
        <v>118</v>
      </c>
      <c r="C25" s="4" t="s">
        <v>140</v>
      </c>
      <c r="D25" s="49" t="s">
        <v>53</v>
      </c>
      <c r="E25" s="51" t="s">
        <v>116</v>
      </c>
      <c r="F25" s="52">
        <v>44885</v>
      </c>
      <c r="G25" s="6">
        <v>45980</v>
      </c>
      <c r="H25" s="4" t="s">
        <v>168</v>
      </c>
      <c r="I25" s="4" t="s">
        <v>10</v>
      </c>
      <c r="J25" s="3" t="s">
        <v>16</v>
      </c>
      <c r="K25" s="9">
        <v>74</v>
      </c>
      <c r="L25" s="4" t="s">
        <v>161</v>
      </c>
      <c r="M25" s="4" t="s">
        <v>12</v>
      </c>
      <c r="N25" s="5">
        <v>45658</v>
      </c>
      <c r="O25" s="4" t="s">
        <v>0</v>
      </c>
      <c r="P25" s="6">
        <v>45435</v>
      </c>
      <c r="Q25" s="7" t="s">
        <v>10</v>
      </c>
      <c r="R25" s="106" t="s">
        <v>10</v>
      </c>
      <c r="S25" s="601"/>
      <c r="T25" s="584"/>
      <c r="U25" s="584"/>
      <c r="V25" s="585"/>
      <c r="W25" s="585"/>
      <c r="X25" s="585"/>
      <c r="Y25" s="586"/>
      <c r="Z25" s="655"/>
      <c r="AA25" s="166">
        <v>0.5</v>
      </c>
      <c r="AB25" s="114">
        <v>45630</v>
      </c>
      <c r="AC25" s="13">
        <f t="shared" si="1"/>
        <v>2082.9</v>
      </c>
      <c r="AD25" s="70">
        <v>1041.45</v>
      </c>
      <c r="AE25" s="113"/>
    </row>
    <row r="26" spans="1:31" ht="28.8" x14ac:dyDescent="0.3">
      <c r="A26" s="4">
        <v>1</v>
      </c>
      <c r="B26" s="3" t="s">
        <v>118</v>
      </c>
      <c r="C26" s="4" t="s">
        <v>141</v>
      </c>
      <c r="D26" s="49" t="s">
        <v>58</v>
      </c>
      <c r="E26" s="51" t="s">
        <v>116</v>
      </c>
      <c r="F26" s="52">
        <v>44827</v>
      </c>
      <c r="G26" s="52">
        <v>45922</v>
      </c>
      <c r="H26" s="4" t="s">
        <v>168</v>
      </c>
      <c r="I26" s="4" t="s">
        <v>10</v>
      </c>
      <c r="J26" s="3" t="s">
        <v>16</v>
      </c>
      <c r="K26" s="9">
        <v>72</v>
      </c>
      <c r="L26" s="4" t="s">
        <v>161</v>
      </c>
      <c r="M26" s="4" t="s">
        <v>12</v>
      </c>
      <c r="N26" s="5">
        <v>45658</v>
      </c>
      <c r="O26" s="4" t="s">
        <v>0</v>
      </c>
      <c r="P26" s="6">
        <v>45435</v>
      </c>
      <c r="Q26" s="7" t="s">
        <v>10</v>
      </c>
      <c r="R26" s="106" t="s">
        <v>10</v>
      </c>
      <c r="S26" s="605"/>
      <c r="T26" s="587"/>
      <c r="U26" s="587"/>
      <c r="V26" s="588"/>
      <c r="W26" s="588"/>
      <c r="X26" s="588"/>
      <c r="Y26" s="589"/>
      <c r="Z26" s="658"/>
      <c r="AA26" s="166">
        <v>0.5</v>
      </c>
      <c r="AB26" s="114">
        <v>45630</v>
      </c>
      <c r="AC26" s="13">
        <f t="shared" si="1"/>
        <v>2083.62</v>
      </c>
      <c r="AD26" s="70">
        <v>1041.81</v>
      </c>
      <c r="AE26" s="113"/>
    </row>
    <row r="27" spans="1:31" ht="28.8" x14ac:dyDescent="0.3">
      <c r="A27" s="4">
        <v>1</v>
      </c>
      <c r="B27" s="3" t="s">
        <v>118</v>
      </c>
      <c r="C27" s="4" t="s">
        <v>142</v>
      </c>
      <c r="D27" s="49" t="s">
        <v>58</v>
      </c>
      <c r="E27" s="51" t="s">
        <v>116</v>
      </c>
      <c r="F27" s="52">
        <v>44855</v>
      </c>
      <c r="G27" s="52">
        <v>45950</v>
      </c>
      <c r="H27" s="4" t="s">
        <v>168</v>
      </c>
      <c r="I27" s="4" t="s">
        <v>10</v>
      </c>
      <c r="J27" s="3" t="s">
        <v>16</v>
      </c>
      <c r="K27" s="9">
        <v>71</v>
      </c>
      <c r="L27" s="4" t="s">
        <v>161</v>
      </c>
      <c r="M27" s="4" t="s">
        <v>12</v>
      </c>
      <c r="N27" s="5">
        <v>45658</v>
      </c>
      <c r="O27" s="4" t="s">
        <v>0</v>
      </c>
      <c r="P27" s="6">
        <v>45435</v>
      </c>
      <c r="Q27" s="7" t="s">
        <v>10</v>
      </c>
      <c r="R27" s="106" t="s">
        <v>10</v>
      </c>
      <c r="S27" s="171">
        <v>45920</v>
      </c>
      <c r="T27" s="148" t="s">
        <v>29</v>
      </c>
      <c r="U27" s="148"/>
      <c r="V27" s="124"/>
      <c r="W27" s="124">
        <v>283</v>
      </c>
      <c r="X27" s="580"/>
      <c r="Y27" s="385">
        <f>V27/AD27*100</f>
        <v>0</v>
      </c>
      <c r="Z27" s="659">
        <v>1</v>
      </c>
      <c r="AA27" s="166">
        <v>0.5</v>
      </c>
      <c r="AB27" s="114">
        <v>45630</v>
      </c>
      <c r="AC27" s="13">
        <f t="shared" si="1"/>
        <v>2313.14</v>
      </c>
      <c r="AD27" s="70">
        <v>1156.57</v>
      </c>
      <c r="AE27" s="113"/>
    </row>
    <row r="28" spans="1:31" ht="28.8" x14ac:dyDescent="0.3">
      <c r="A28" s="4">
        <v>1</v>
      </c>
      <c r="B28" s="3" t="s">
        <v>118</v>
      </c>
      <c r="C28" s="4" t="s">
        <v>143</v>
      </c>
      <c r="D28" s="49" t="s">
        <v>58</v>
      </c>
      <c r="E28" s="49" t="s">
        <v>116</v>
      </c>
      <c r="F28" s="36">
        <v>44841</v>
      </c>
      <c r="G28" s="36">
        <v>45936</v>
      </c>
      <c r="H28" s="4" t="s">
        <v>168</v>
      </c>
      <c r="I28" s="4" t="s">
        <v>158</v>
      </c>
      <c r="J28" s="3" t="s">
        <v>16</v>
      </c>
      <c r="K28" s="9">
        <v>70</v>
      </c>
      <c r="L28" s="4" t="s">
        <v>161</v>
      </c>
      <c r="M28" s="4" t="s">
        <v>12</v>
      </c>
      <c r="N28" s="5">
        <v>45658</v>
      </c>
      <c r="O28" s="4" t="s">
        <v>0</v>
      </c>
      <c r="P28" s="6">
        <v>45435</v>
      </c>
      <c r="Q28" s="7" t="s">
        <v>10</v>
      </c>
      <c r="R28" s="106" t="s">
        <v>10</v>
      </c>
      <c r="S28" s="606"/>
      <c r="T28" s="598"/>
      <c r="U28" s="598"/>
      <c r="V28" s="599"/>
      <c r="W28" s="599"/>
      <c r="X28" s="599"/>
      <c r="Y28" s="583"/>
      <c r="Z28" s="660"/>
      <c r="AA28" s="166">
        <v>0.5</v>
      </c>
      <c r="AB28" s="114">
        <v>45630</v>
      </c>
      <c r="AC28" s="13">
        <f t="shared" si="1"/>
        <v>2218.94</v>
      </c>
      <c r="AD28" s="70">
        <v>1109.47</v>
      </c>
      <c r="AE28" s="113"/>
    </row>
    <row r="29" spans="1:31" x14ac:dyDescent="0.3">
      <c r="A29" s="713">
        <v>0</v>
      </c>
      <c r="B29" s="730" t="s">
        <v>118</v>
      </c>
      <c r="C29" s="723" t="s">
        <v>144</v>
      </c>
      <c r="D29" s="730" t="s">
        <v>58</v>
      </c>
      <c r="E29" s="723" t="s">
        <v>116</v>
      </c>
      <c r="F29" s="738">
        <v>44840</v>
      </c>
      <c r="G29" s="738">
        <v>45935</v>
      </c>
      <c r="H29" s="723" t="s">
        <v>168</v>
      </c>
      <c r="I29" s="713" t="s">
        <v>10</v>
      </c>
      <c r="J29" s="711" t="s">
        <v>16</v>
      </c>
      <c r="K29" s="715">
        <v>69</v>
      </c>
      <c r="L29" s="713" t="s">
        <v>161</v>
      </c>
      <c r="M29" s="713" t="s">
        <v>12</v>
      </c>
      <c r="N29" s="717">
        <v>45658</v>
      </c>
      <c r="O29" s="713" t="s">
        <v>0</v>
      </c>
      <c r="P29" s="724">
        <v>44839</v>
      </c>
      <c r="Q29" s="234" t="s">
        <v>10</v>
      </c>
      <c r="R29" s="726" t="s">
        <v>10</v>
      </c>
      <c r="S29" s="237">
        <v>45839</v>
      </c>
      <c r="T29" s="235" t="s">
        <v>30</v>
      </c>
      <c r="U29" s="235">
        <v>0</v>
      </c>
      <c r="V29" s="559">
        <v>739</v>
      </c>
      <c r="W29" s="419">
        <v>0</v>
      </c>
      <c r="X29" s="229"/>
      <c r="Y29" s="638">
        <f>SUM(V29:V30)/AD29*100</f>
        <v>140.8760100093599</v>
      </c>
      <c r="Z29" s="661">
        <v>2</v>
      </c>
      <c r="AA29" s="721">
        <v>0.5</v>
      </c>
      <c r="AB29" s="752">
        <v>45630</v>
      </c>
      <c r="AC29" s="234">
        <f t="shared" si="1"/>
        <v>2094.04</v>
      </c>
      <c r="AD29" s="389">
        <v>1047.02</v>
      </c>
      <c r="AE29" s="709">
        <v>45970</v>
      </c>
    </row>
    <row r="30" spans="1:31" x14ac:dyDescent="0.3">
      <c r="A30" s="714"/>
      <c r="B30" s="730"/>
      <c r="C30" s="723"/>
      <c r="D30" s="730"/>
      <c r="E30" s="723"/>
      <c r="F30" s="738"/>
      <c r="G30" s="738"/>
      <c r="H30" s="723"/>
      <c r="I30" s="714"/>
      <c r="J30" s="712"/>
      <c r="K30" s="716"/>
      <c r="L30" s="714"/>
      <c r="M30" s="714"/>
      <c r="N30" s="718"/>
      <c r="O30" s="714"/>
      <c r="P30" s="725"/>
      <c r="Q30" s="236"/>
      <c r="R30" s="727"/>
      <c r="S30" s="278">
        <v>45968</v>
      </c>
      <c r="T30" s="279" t="s">
        <v>29</v>
      </c>
      <c r="U30" s="279"/>
      <c r="V30" s="578">
        <v>736</v>
      </c>
      <c r="W30" s="637">
        <v>283</v>
      </c>
      <c r="X30" s="391"/>
      <c r="Y30" s="639"/>
      <c r="Z30" s="662"/>
      <c r="AA30" s="722"/>
      <c r="AB30" s="753"/>
      <c r="AC30" s="236"/>
      <c r="AD30" s="390"/>
      <c r="AE30" s="710"/>
    </row>
    <row r="31" spans="1:31" ht="28.8" x14ac:dyDescent="0.3">
      <c r="A31" s="219">
        <v>0</v>
      </c>
      <c r="B31" s="538" t="s">
        <v>118</v>
      </c>
      <c r="C31" s="219" t="s">
        <v>145</v>
      </c>
      <c r="D31" s="218" t="s">
        <v>58</v>
      </c>
      <c r="E31" s="219" t="s">
        <v>116</v>
      </c>
      <c r="F31" s="220">
        <v>44840</v>
      </c>
      <c r="G31" s="220">
        <v>45935</v>
      </c>
      <c r="H31" s="219" t="s">
        <v>168</v>
      </c>
      <c r="I31" s="219" t="s">
        <v>10</v>
      </c>
      <c r="J31" s="218" t="s">
        <v>16</v>
      </c>
      <c r="K31" s="224">
        <v>68</v>
      </c>
      <c r="L31" s="219" t="s">
        <v>161</v>
      </c>
      <c r="M31" s="219" t="s">
        <v>12</v>
      </c>
      <c r="N31" s="225">
        <v>45658</v>
      </c>
      <c r="O31" s="219" t="s">
        <v>0</v>
      </c>
      <c r="P31" s="220">
        <v>44839</v>
      </c>
      <c r="Q31" s="90" t="s">
        <v>10</v>
      </c>
      <c r="R31" s="226" t="s">
        <v>10</v>
      </c>
      <c r="S31" s="607"/>
      <c r="T31" s="230"/>
      <c r="U31" s="230"/>
      <c r="V31" s="590"/>
      <c r="W31" s="590"/>
      <c r="X31" s="590"/>
      <c r="Y31" s="372"/>
      <c r="Z31" s="663"/>
      <c r="AA31" s="230">
        <v>0.5</v>
      </c>
      <c r="AB31" s="231">
        <v>45630</v>
      </c>
      <c r="AC31" s="90">
        <f>AD31/AA31</f>
        <v>2093.7199999999998</v>
      </c>
      <c r="AD31" s="232">
        <v>1046.8599999999999</v>
      </c>
      <c r="AE31" s="233">
        <v>45970</v>
      </c>
    </row>
    <row r="32" spans="1:31" ht="28.8" x14ac:dyDescent="0.3">
      <c r="A32" s="4">
        <v>1</v>
      </c>
      <c r="B32" s="3" t="s">
        <v>118</v>
      </c>
      <c r="C32" s="4" t="s">
        <v>146</v>
      </c>
      <c r="D32" s="49" t="s">
        <v>51</v>
      </c>
      <c r="E32" s="51" t="s">
        <v>116</v>
      </c>
      <c r="F32" s="52">
        <v>44754</v>
      </c>
      <c r="G32" s="52">
        <v>45849</v>
      </c>
      <c r="H32" s="4" t="s">
        <v>168</v>
      </c>
      <c r="I32" s="4" t="s">
        <v>159</v>
      </c>
      <c r="J32" s="3" t="s">
        <v>16</v>
      </c>
      <c r="K32" s="9">
        <v>65</v>
      </c>
      <c r="L32" s="4" t="s">
        <v>161</v>
      </c>
      <c r="M32" s="4" t="s">
        <v>12</v>
      </c>
      <c r="N32" s="5">
        <v>45658</v>
      </c>
      <c r="O32" s="4" t="s">
        <v>0</v>
      </c>
      <c r="P32" s="6">
        <v>45435</v>
      </c>
      <c r="Q32" s="7" t="s">
        <v>10</v>
      </c>
      <c r="R32" s="106" t="s">
        <v>10</v>
      </c>
      <c r="S32" s="601"/>
      <c r="T32" s="584"/>
      <c r="U32" s="584"/>
      <c r="V32" s="585"/>
      <c r="W32" s="585"/>
      <c r="X32" s="585"/>
      <c r="Y32" s="586"/>
      <c r="Z32" s="655"/>
      <c r="AA32" s="166">
        <v>0.5</v>
      </c>
      <c r="AB32" s="114">
        <v>45630</v>
      </c>
      <c r="AC32" s="7">
        <f>AD32/AA32</f>
        <v>2309.84</v>
      </c>
      <c r="AD32" s="70">
        <v>1154.92</v>
      </c>
      <c r="AE32" s="113"/>
    </row>
    <row r="33" spans="1:34" x14ac:dyDescent="0.3">
      <c r="A33" s="723">
        <v>0</v>
      </c>
      <c r="B33" s="730" t="s">
        <v>118</v>
      </c>
      <c r="C33" s="723" t="s">
        <v>163</v>
      </c>
      <c r="D33" s="730" t="s">
        <v>50</v>
      </c>
      <c r="E33" s="723" t="s">
        <v>116</v>
      </c>
      <c r="F33" s="738">
        <v>44750</v>
      </c>
      <c r="G33" s="738">
        <v>45845</v>
      </c>
      <c r="H33" s="713" t="s">
        <v>168</v>
      </c>
      <c r="I33" s="713" t="s">
        <v>10</v>
      </c>
      <c r="J33" s="711" t="s">
        <v>16</v>
      </c>
      <c r="K33" s="715">
        <v>64</v>
      </c>
      <c r="L33" s="713" t="s">
        <v>161</v>
      </c>
      <c r="M33" s="713" t="s">
        <v>12</v>
      </c>
      <c r="N33" s="717">
        <v>45658</v>
      </c>
      <c r="O33" s="713" t="s">
        <v>0</v>
      </c>
      <c r="P33" s="724">
        <v>45435</v>
      </c>
      <c r="Q33" s="234" t="s">
        <v>10</v>
      </c>
      <c r="R33" s="726" t="s">
        <v>10</v>
      </c>
      <c r="S33" s="742"/>
      <c r="T33" s="721"/>
      <c r="U33" s="721"/>
      <c r="V33" s="736"/>
      <c r="W33" s="736"/>
      <c r="X33" s="736"/>
      <c r="Y33" s="371"/>
      <c r="Z33" s="735"/>
      <c r="AA33" s="230">
        <v>0.5</v>
      </c>
      <c r="AB33" s="231">
        <v>45630</v>
      </c>
      <c r="AC33" s="90">
        <f>AD33/AA33</f>
        <v>2309.84</v>
      </c>
      <c r="AD33" s="232">
        <v>1154.92</v>
      </c>
      <c r="AE33" s="709">
        <v>45938</v>
      </c>
    </row>
    <row r="34" spans="1:34" x14ac:dyDescent="0.3">
      <c r="A34" s="723"/>
      <c r="B34" s="730"/>
      <c r="C34" s="723"/>
      <c r="D34" s="730"/>
      <c r="E34" s="723"/>
      <c r="F34" s="738"/>
      <c r="G34" s="738"/>
      <c r="H34" s="714"/>
      <c r="I34" s="714"/>
      <c r="J34" s="712"/>
      <c r="K34" s="716"/>
      <c r="L34" s="714"/>
      <c r="M34" s="714"/>
      <c r="N34" s="718"/>
      <c r="O34" s="714"/>
      <c r="P34" s="725"/>
      <c r="Q34" s="236"/>
      <c r="R34" s="727"/>
      <c r="S34" s="743"/>
      <c r="T34" s="722"/>
      <c r="U34" s="722"/>
      <c r="V34" s="739"/>
      <c r="W34" s="739"/>
      <c r="X34" s="739"/>
      <c r="Y34" s="548"/>
      <c r="Z34" s="729"/>
      <c r="AA34" s="230">
        <v>0.5</v>
      </c>
      <c r="AB34" s="231">
        <v>45939</v>
      </c>
      <c r="AC34" s="90">
        <f>AD34/AA34</f>
        <v>-528.26</v>
      </c>
      <c r="AD34" s="232">
        <v>-264.13</v>
      </c>
      <c r="AE34" s="710"/>
    </row>
    <row r="35" spans="1:34" x14ac:dyDescent="0.3">
      <c r="A35" s="760">
        <v>1</v>
      </c>
      <c r="B35" s="762" t="s">
        <v>118</v>
      </c>
      <c r="C35" s="763" t="s">
        <v>147</v>
      </c>
      <c r="D35" s="762" t="s">
        <v>49</v>
      </c>
      <c r="E35" s="763" t="s">
        <v>116</v>
      </c>
      <c r="F35" s="768">
        <v>44760</v>
      </c>
      <c r="G35" s="768">
        <v>45855</v>
      </c>
      <c r="H35" s="760" t="s">
        <v>168</v>
      </c>
      <c r="I35" s="760" t="s">
        <v>160</v>
      </c>
      <c r="J35" s="764" t="s">
        <v>16</v>
      </c>
      <c r="K35" s="766">
        <v>63</v>
      </c>
      <c r="L35" s="760" t="s">
        <v>161</v>
      </c>
      <c r="M35" s="760" t="s">
        <v>12</v>
      </c>
      <c r="N35" s="800">
        <v>45658</v>
      </c>
      <c r="O35" s="760" t="s">
        <v>0</v>
      </c>
      <c r="P35" s="754">
        <v>45435</v>
      </c>
      <c r="Q35" s="53" t="s">
        <v>10</v>
      </c>
      <c r="R35" s="756" t="s">
        <v>10</v>
      </c>
      <c r="S35" s="109">
        <v>45712</v>
      </c>
      <c r="T35" s="50" t="s">
        <v>30</v>
      </c>
      <c r="U35" s="38">
        <v>0</v>
      </c>
      <c r="V35" s="93">
        <v>154</v>
      </c>
      <c r="W35" s="563">
        <v>0</v>
      </c>
      <c r="X35" s="151"/>
      <c r="Y35" s="635">
        <f>SUM(V35:V36)/AD35*100</f>
        <v>54.087902626120311</v>
      </c>
      <c r="Z35" s="664">
        <v>2</v>
      </c>
      <c r="AA35" s="758">
        <v>0.5</v>
      </c>
      <c r="AB35" s="759">
        <v>45630</v>
      </c>
      <c r="AC35" s="53">
        <f>AD35/AA35</f>
        <v>2555.1</v>
      </c>
      <c r="AD35" s="77">
        <v>1277.55</v>
      </c>
      <c r="AE35" s="750"/>
    </row>
    <row r="36" spans="1:34" x14ac:dyDescent="0.3">
      <c r="A36" s="761"/>
      <c r="B36" s="762"/>
      <c r="C36" s="763"/>
      <c r="D36" s="762"/>
      <c r="E36" s="763"/>
      <c r="F36" s="768"/>
      <c r="G36" s="768"/>
      <c r="H36" s="761"/>
      <c r="I36" s="761"/>
      <c r="J36" s="765"/>
      <c r="K36" s="767"/>
      <c r="L36" s="761"/>
      <c r="M36" s="761"/>
      <c r="N36" s="801"/>
      <c r="O36" s="761"/>
      <c r="P36" s="755"/>
      <c r="Q36" s="54"/>
      <c r="R36" s="757"/>
      <c r="S36" s="193">
        <v>45880</v>
      </c>
      <c r="T36" s="49" t="s">
        <v>29</v>
      </c>
      <c r="U36" s="49">
        <v>100</v>
      </c>
      <c r="V36" s="579">
        <v>537</v>
      </c>
      <c r="W36" s="562">
        <v>479</v>
      </c>
      <c r="X36" s="151"/>
      <c r="Y36" s="636"/>
      <c r="Z36" s="664"/>
      <c r="AA36" s="758"/>
      <c r="AB36" s="759"/>
      <c r="AC36" s="54"/>
      <c r="AD36" s="92"/>
      <c r="AE36" s="751"/>
    </row>
    <row r="37" spans="1:34" x14ac:dyDescent="0.3">
      <c r="A37" s="723">
        <v>0</v>
      </c>
      <c r="B37" s="730" t="s">
        <v>118</v>
      </c>
      <c r="C37" s="723" t="s">
        <v>164</v>
      </c>
      <c r="D37" s="730" t="s">
        <v>48</v>
      </c>
      <c r="E37" s="803" t="s">
        <v>117</v>
      </c>
      <c r="F37" s="723" t="s">
        <v>10</v>
      </c>
      <c r="G37" s="723" t="s">
        <v>10</v>
      </c>
      <c r="H37" s="713" t="s">
        <v>168</v>
      </c>
      <c r="I37" s="713" t="s">
        <v>10</v>
      </c>
      <c r="J37" s="711" t="s">
        <v>16</v>
      </c>
      <c r="K37" s="715">
        <v>62</v>
      </c>
      <c r="L37" s="713" t="s">
        <v>161</v>
      </c>
      <c r="M37" s="713" t="s">
        <v>12</v>
      </c>
      <c r="N37" s="717">
        <v>45658</v>
      </c>
      <c r="O37" s="713" t="s">
        <v>0</v>
      </c>
      <c r="P37" s="724">
        <v>45435</v>
      </c>
      <c r="Q37" s="234" t="s">
        <v>10</v>
      </c>
      <c r="R37" s="726" t="s">
        <v>10</v>
      </c>
      <c r="S37" s="788"/>
      <c r="T37" s="721"/>
      <c r="U37" s="721"/>
      <c r="V37" s="736"/>
      <c r="W37" s="736"/>
      <c r="X37" s="736"/>
      <c r="Y37" s="371"/>
      <c r="Z37" s="735"/>
      <c r="AA37" s="230">
        <v>0.5</v>
      </c>
      <c r="AB37" s="231">
        <v>45630</v>
      </c>
      <c r="AC37" s="90">
        <f>AD37/AA37</f>
        <v>2382.36</v>
      </c>
      <c r="AD37" s="232">
        <v>1191.18</v>
      </c>
      <c r="AE37" s="709">
        <v>45847</v>
      </c>
    </row>
    <row r="38" spans="1:34" x14ac:dyDescent="0.3">
      <c r="A38" s="723"/>
      <c r="B38" s="730"/>
      <c r="C38" s="723"/>
      <c r="D38" s="730"/>
      <c r="E38" s="803"/>
      <c r="F38" s="723"/>
      <c r="G38" s="723"/>
      <c r="H38" s="714"/>
      <c r="I38" s="714"/>
      <c r="J38" s="712"/>
      <c r="K38" s="716"/>
      <c r="L38" s="714"/>
      <c r="M38" s="714"/>
      <c r="N38" s="718"/>
      <c r="O38" s="714"/>
      <c r="P38" s="725"/>
      <c r="Q38" s="236"/>
      <c r="R38" s="727"/>
      <c r="S38" s="789"/>
      <c r="T38" s="746"/>
      <c r="U38" s="746"/>
      <c r="V38" s="737"/>
      <c r="W38" s="737"/>
      <c r="X38" s="737"/>
      <c r="Y38" s="548"/>
      <c r="Z38" s="728"/>
      <c r="AA38" s="230">
        <v>0.5</v>
      </c>
      <c r="AB38" s="231">
        <v>45904</v>
      </c>
      <c r="AC38" s="90">
        <f>AD38/AA38</f>
        <v>-1142</v>
      </c>
      <c r="AD38" s="232">
        <v>-571</v>
      </c>
      <c r="AE38" s="710"/>
    </row>
    <row r="39" spans="1:34" x14ac:dyDescent="0.3">
      <c r="A39" s="723">
        <v>0</v>
      </c>
      <c r="B39" s="711" t="s">
        <v>118</v>
      </c>
      <c r="C39" s="713" t="s">
        <v>165</v>
      </c>
      <c r="D39" s="711" t="s">
        <v>46</v>
      </c>
      <c r="E39" s="803" t="s">
        <v>117</v>
      </c>
      <c r="F39" s="723" t="s">
        <v>10</v>
      </c>
      <c r="G39" s="723" t="s">
        <v>10</v>
      </c>
      <c r="H39" s="713" t="s">
        <v>168</v>
      </c>
      <c r="I39" s="713" t="s">
        <v>10</v>
      </c>
      <c r="J39" s="711" t="s">
        <v>16</v>
      </c>
      <c r="K39" s="715">
        <v>61</v>
      </c>
      <c r="L39" s="713" t="s">
        <v>161</v>
      </c>
      <c r="M39" s="713" t="s">
        <v>12</v>
      </c>
      <c r="N39" s="717">
        <v>45658</v>
      </c>
      <c r="O39" s="713" t="s">
        <v>0</v>
      </c>
      <c r="P39" s="724">
        <v>45435</v>
      </c>
      <c r="Q39" s="234" t="s">
        <v>10</v>
      </c>
      <c r="R39" s="726" t="s">
        <v>10</v>
      </c>
      <c r="S39" s="745"/>
      <c r="T39" s="746"/>
      <c r="U39" s="746"/>
      <c r="V39" s="737"/>
      <c r="W39" s="737"/>
      <c r="X39" s="737"/>
      <c r="Y39" s="548"/>
      <c r="Z39" s="728"/>
      <c r="AA39" s="230">
        <v>0.5</v>
      </c>
      <c r="AB39" s="231">
        <v>45630</v>
      </c>
      <c r="AC39" s="90">
        <f>AD39/AA39</f>
        <v>2107.42</v>
      </c>
      <c r="AD39" s="232">
        <v>1053.71</v>
      </c>
      <c r="AE39" s="709">
        <v>45847</v>
      </c>
    </row>
    <row r="40" spans="1:34" x14ac:dyDescent="0.3">
      <c r="A40" s="723"/>
      <c r="B40" s="712"/>
      <c r="C40" s="714"/>
      <c r="D40" s="712"/>
      <c r="E40" s="803"/>
      <c r="F40" s="723"/>
      <c r="G40" s="723"/>
      <c r="H40" s="714"/>
      <c r="I40" s="714"/>
      <c r="J40" s="712"/>
      <c r="K40" s="716"/>
      <c r="L40" s="714"/>
      <c r="M40" s="714"/>
      <c r="N40" s="718"/>
      <c r="O40" s="714"/>
      <c r="P40" s="725"/>
      <c r="Q40" s="236"/>
      <c r="R40" s="727"/>
      <c r="S40" s="743"/>
      <c r="T40" s="722"/>
      <c r="U40" s="722"/>
      <c r="V40" s="739"/>
      <c r="W40" s="739"/>
      <c r="X40" s="739"/>
      <c r="Y40" s="372"/>
      <c r="Z40" s="729"/>
      <c r="AA40" s="230">
        <v>0.5</v>
      </c>
      <c r="AB40" s="231">
        <v>45904</v>
      </c>
      <c r="AC40" s="90">
        <f>AD40/AA40</f>
        <v>-1009.56</v>
      </c>
      <c r="AD40" s="232">
        <v>-504.78</v>
      </c>
      <c r="AE40" s="710"/>
    </row>
    <row r="41" spans="1:34" x14ac:dyDescent="0.3">
      <c r="A41" s="723">
        <v>0</v>
      </c>
      <c r="B41" s="711" t="s">
        <v>118</v>
      </c>
      <c r="C41" s="713" t="s">
        <v>166</v>
      </c>
      <c r="D41" s="730" t="s">
        <v>47</v>
      </c>
      <c r="E41" s="803" t="s">
        <v>117</v>
      </c>
      <c r="F41" s="723" t="s">
        <v>10</v>
      </c>
      <c r="G41" s="723" t="s">
        <v>10</v>
      </c>
      <c r="H41" s="713" t="s">
        <v>168</v>
      </c>
      <c r="I41" s="713" t="s">
        <v>10</v>
      </c>
      <c r="J41" s="711" t="s">
        <v>16</v>
      </c>
      <c r="K41" s="715">
        <v>59</v>
      </c>
      <c r="L41" s="713" t="s">
        <v>161</v>
      </c>
      <c r="M41" s="713" t="s">
        <v>12</v>
      </c>
      <c r="N41" s="717">
        <v>45658</v>
      </c>
      <c r="O41" s="713" t="s">
        <v>0</v>
      </c>
      <c r="P41" s="724">
        <v>45435</v>
      </c>
      <c r="Q41" s="234" t="s">
        <v>10</v>
      </c>
      <c r="R41" s="726" t="s">
        <v>10</v>
      </c>
      <c r="S41" s="227">
        <v>45800</v>
      </c>
      <c r="T41" s="228" t="s">
        <v>29</v>
      </c>
      <c r="U41" s="228">
        <v>100</v>
      </c>
      <c r="V41" s="391">
        <v>635</v>
      </c>
      <c r="W41" s="229">
        <v>479</v>
      </c>
      <c r="X41" s="229"/>
      <c r="Y41" s="387">
        <f>V41/SUM(AD41:AD43)*100</f>
        <v>89.40136284282255</v>
      </c>
      <c r="Z41" s="661">
        <v>1</v>
      </c>
      <c r="AA41" s="230">
        <v>0.5</v>
      </c>
      <c r="AB41" s="231">
        <v>45630</v>
      </c>
      <c r="AC41" s="90">
        <f>AD41/AA41</f>
        <v>2230.2399999999998</v>
      </c>
      <c r="AD41" s="232">
        <v>1115.1199999999999</v>
      </c>
      <c r="AE41" s="709">
        <v>45890</v>
      </c>
    </row>
    <row r="42" spans="1:34" x14ac:dyDescent="0.3">
      <c r="A42" s="723"/>
      <c r="B42" s="772"/>
      <c r="C42" s="773"/>
      <c r="D42" s="730"/>
      <c r="E42" s="803"/>
      <c r="F42" s="723"/>
      <c r="G42" s="723"/>
      <c r="H42" s="773"/>
      <c r="I42" s="773"/>
      <c r="J42" s="772"/>
      <c r="K42" s="784"/>
      <c r="L42" s="773"/>
      <c r="M42" s="773"/>
      <c r="N42" s="785"/>
      <c r="O42" s="773"/>
      <c r="P42" s="787"/>
      <c r="Q42" s="242"/>
      <c r="R42" s="802"/>
      <c r="S42" s="227"/>
      <c r="T42" s="228"/>
      <c r="U42" s="228"/>
      <c r="V42" s="391"/>
      <c r="W42" s="229"/>
      <c r="X42" s="229"/>
      <c r="Y42" s="387"/>
      <c r="Z42" s="661"/>
      <c r="AA42" s="230">
        <v>0.5</v>
      </c>
      <c r="AB42" s="231">
        <v>45890</v>
      </c>
      <c r="AC42" s="90">
        <f t="shared" ref="AC42:AC43" si="2">AD42/AA42</f>
        <v>-807.58</v>
      </c>
      <c r="AD42" s="232">
        <v>-403.79</v>
      </c>
      <c r="AE42" s="786"/>
    </row>
    <row r="43" spans="1:34" x14ac:dyDescent="0.3">
      <c r="A43" s="723"/>
      <c r="B43" s="712"/>
      <c r="C43" s="714"/>
      <c r="D43" s="730"/>
      <c r="E43" s="803"/>
      <c r="F43" s="723"/>
      <c r="G43" s="723"/>
      <c r="H43" s="714"/>
      <c r="I43" s="714"/>
      <c r="J43" s="712"/>
      <c r="K43" s="716"/>
      <c r="L43" s="714"/>
      <c r="M43" s="714"/>
      <c r="N43" s="718"/>
      <c r="O43" s="714"/>
      <c r="P43" s="725"/>
      <c r="Q43" s="236"/>
      <c r="R43" s="727"/>
      <c r="S43" s="227"/>
      <c r="T43" s="228"/>
      <c r="U43" s="228"/>
      <c r="V43" s="391"/>
      <c r="W43" s="229"/>
      <c r="X43" s="229"/>
      <c r="Y43" s="387"/>
      <c r="Z43" s="661"/>
      <c r="AA43" s="230">
        <v>0.5</v>
      </c>
      <c r="AB43" s="231">
        <v>45435</v>
      </c>
      <c r="AC43" s="90">
        <f t="shared" si="2"/>
        <v>-2.1</v>
      </c>
      <c r="AD43" s="232">
        <v>-1.05</v>
      </c>
      <c r="AE43" s="710"/>
    </row>
    <row r="44" spans="1:34" x14ac:dyDescent="0.3">
      <c r="A44" s="723">
        <v>0</v>
      </c>
      <c r="B44" s="711" t="s">
        <v>118</v>
      </c>
      <c r="C44" s="723" t="s">
        <v>167</v>
      </c>
      <c r="D44" s="730" t="s">
        <v>60</v>
      </c>
      <c r="E44" s="803" t="s">
        <v>117</v>
      </c>
      <c r="F44" s="723" t="s">
        <v>10</v>
      </c>
      <c r="G44" s="723" t="s">
        <v>10</v>
      </c>
      <c r="H44" s="723" t="s">
        <v>168</v>
      </c>
      <c r="I44" s="723" t="s">
        <v>10</v>
      </c>
      <c r="J44" s="723" t="s">
        <v>16</v>
      </c>
      <c r="K44" s="777">
        <v>56</v>
      </c>
      <c r="L44" s="723" t="s">
        <v>161</v>
      </c>
      <c r="M44" s="723" t="s">
        <v>12</v>
      </c>
      <c r="N44" s="778">
        <v>46023</v>
      </c>
      <c r="O44" s="723" t="s">
        <v>0</v>
      </c>
      <c r="P44" s="738">
        <v>45435</v>
      </c>
      <c r="Q44" s="234" t="s">
        <v>10</v>
      </c>
      <c r="R44" s="774" t="s">
        <v>10</v>
      </c>
      <c r="S44" s="742"/>
      <c r="T44" s="721"/>
      <c r="U44" s="721"/>
      <c r="V44" s="781"/>
      <c r="W44" s="736"/>
      <c r="X44" s="736"/>
      <c r="Y44" s="386"/>
      <c r="Z44" s="735"/>
      <c r="AA44" s="230">
        <v>0.5</v>
      </c>
      <c r="AB44" s="231">
        <v>45630</v>
      </c>
      <c r="AC44" s="90">
        <f>AD44/AA44</f>
        <v>2014.44</v>
      </c>
      <c r="AD44" s="238">
        <v>1007.22</v>
      </c>
      <c r="AE44" s="775">
        <v>45736</v>
      </c>
    </row>
    <row r="45" spans="1:34" ht="15" thickBot="1" x14ac:dyDescent="0.35">
      <c r="A45" s="723"/>
      <c r="B45" s="712"/>
      <c r="C45" s="723"/>
      <c r="D45" s="730"/>
      <c r="E45" s="803"/>
      <c r="F45" s="723"/>
      <c r="G45" s="723"/>
      <c r="H45" s="723"/>
      <c r="I45" s="723"/>
      <c r="J45" s="723"/>
      <c r="K45" s="777"/>
      <c r="L45" s="723"/>
      <c r="M45" s="723"/>
      <c r="N45" s="778"/>
      <c r="O45" s="723"/>
      <c r="P45" s="738"/>
      <c r="Q45" s="236"/>
      <c r="R45" s="774"/>
      <c r="S45" s="779"/>
      <c r="T45" s="780"/>
      <c r="U45" s="780"/>
      <c r="V45" s="782"/>
      <c r="W45" s="804"/>
      <c r="X45" s="804"/>
      <c r="Y45" s="388"/>
      <c r="Z45" s="783"/>
      <c r="AA45" s="230">
        <v>0.5</v>
      </c>
      <c r="AB45" s="239">
        <v>45736</v>
      </c>
      <c r="AC45" s="240">
        <f>AD45/AA45</f>
        <v>-1573.42</v>
      </c>
      <c r="AD45" s="241">
        <v>-786.71</v>
      </c>
      <c r="AE45" s="776"/>
    </row>
    <row r="46" spans="1:34" ht="15" customHeight="1" x14ac:dyDescent="0.3">
      <c r="A46" s="23">
        <f>SUM(A3:A45)</f>
        <v>26</v>
      </c>
      <c r="V46" s="26"/>
      <c r="W46" s="26"/>
      <c r="X46" s="26"/>
      <c r="Y46" s="376"/>
      <c r="Z46" s="376"/>
    </row>
    <row r="47" spans="1:34" ht="15.6" x14ac:dyDescent="0.3">
      <c r="C47"/>
      <c r="D47" s="58"/>
      <c r="E47" s="58"/>
      <c r="F47" s="58"/>
      <c r="G47" s="180"/>
      <c r="H47"/>
      <c r="Q47" s="145">
        <f>SUM(Q3:Q45)</f>
        <v>16459.600000000002</v>
      </c>
      <c r="S47" s="32" t="s">
        <v>33</v>
      </c>
      <c r="V47" s="27">
        <f>SUM(V3:V45)</f>
        <v>10527.16</v>
      </c>
      <c r="W47" s="30">
        <f>SUM(W3:W45)</f>
        <v>3319</v>
      </c>
      <c r="X47" s="30">
        <f t="shared" ref="X47:Z47" si="3">SUM(X3:X45)</f>
        <v>0</v>
      </c>
      <c r="Z47" s="608">
        <f t="shared" si="3"/>
        <v>13</v>
      </c>
      <c r="AC47" s="24">
        <f>SUM(AC3:AC45)</f>
        <v>68730.136774193554</v>
      </c>
      <c r="AD47" s="24">
        <f>SUM(AD3:AD45)</f>
        <v>33663.840000000004</v>
      </c>
      <c r="AF47" s="34" t="s">
        <v>21</v>
      </c>
      <c r="AH47"/>
    </row>
    <row r="48" spans="1:34" ht="15" customHeight="1" x14ac:dyDescent="0.3">
      <c r="B48" s="394" t="s">
        <v>82</v>
      </c>
      <c r="D48" s="395">
        <f>A3+A10+A12+A13+A14+A15+A17+A19+A20+A21+A22+A28+A32+A35</f>
        <v>14</v>
      </c>
      <c r="E48" s="58"/>
      <c r="F48" s="58"/>
      <c r="G48" s="180"/>
      <c r="H48"/>
      <c r="S48" s="33"/>
    </row>
    <row r="49" spans="2:32" x14ac:dyDescent="0.3">
      <c r="B49" s="394" t="s">
        <v>83</v>
      </c>
      <c r="C49"/>
      <c r="D49" s="395">
        <f>A4+A5+A6+A7+A8+A9+A11+A18+A23+A24+A25+A26+A27+A33+A37+A39+A41+A44</f>
        <v>12</v>
      </c>
      <c r="E49" s="58"/>
      <c r="F49" s="58"/>
      <c r="G49" s="180"/>
      <c r="H49"/>
    </row>
    <row r="50" spans="2:32" ht="15.75" customHeight="1" x14ac:dyDescent="0.3">
      <c r="C50"/>
      <c r="D50" s="396">
        <f>SUM(D48:D49)</f>
        <v>26</v>
      </c>
      <c r="E50" s="58"/>
      <c r="F50" s="58"/>
      <c r="G50" s="180"/>
      <c r="H50"/>
      <c r="S50" s="139" t="s">
        <v>38</v>
      </c>
      <c r="T50" s="137"/>
      <c r="U50" s="137"/>
      <c r="V50" s="609">
        <f>SUM(V47:X47)</f>
        <v>13846.16</v>
      </c>
      <c r="W50" s="392"/>
      <c r="X50" s="139" t="s">
        <v>39</v>
      </c>
      <c r="Y50" s="541">
        <f>V47</f>
        <v>10527.16</v>
      </c>
      <c r="AA50" s="137"/>
      <c r="AB50" s="139" t="s">
        <v>34</v>
      </c>
      <c r="AC50" s="609">
        <f>SUM(W47:X47)+AD47</f>
        <v>36982.840000000004</v>
      </c>
    </row>
    <row r="51" spans="2:32" ht="15.6" x14ac:dyDescent="0.3">
      <c r="C51"/>
      <c r="D51" s="58"/>
      <c r="E51" s="58"/>
      <c r="F51" s="58"/>
      <c r="G51" s="180"/>
      <c r="H51"/>
      <c r="S51" s="141"/>
      <c r="T51" s="137"/>
      <c r="U51" s="137"/>
      <c r="V51" s="137"/>
      <c r="W51" s="137"/>
      <c r="X51" s="137"/>
      <c r="Y51" s="137"/>
      <c r="Z51" s="137"/>
      <c r="AA51" s="137"/>
    </row>
    <row r="52" spans="2:32" ht="15.75" customHeight="1" x14ac:dyDescent="0.3">
      <c r="B52" s="45" t="s">
        <v>107</v>
      </c>
      <c r="C52"/>
      <c r="D52" s="58"/>
      <c r="E52" s="58"/>
      <c r="F52" s="58"/>
      <c r="G52" s="180"/>
      <c r="H52"/>
      <c r="S52" s="139" t="s">
        <v>112</v>
      </c>
      <c r="T52" s="137"/>
      <c r="U52" s="137"/>
      <c r="V52" s="402" t="s">
        <v>85</v>
      </c>
      <c r="W52" s="402" t="s">
        <v>84</v>
      </c>
      <c r="X52" s="402" t="s">
        <v>40</v>
      </c>
      <c r="Y52" s="402" t="s">
        <v>104</v>
      </c>
      <c r="AA52" s="137"/>
      <c r="AC52" s="14" t="s">
        <v>106</v>
      </c>
      <c r="AD52" s="14" t="s">
        <v>36</v>
      </c>
      <c r="AE52" s="10" t="s">
        <v>24</v>
      </c>
      <c r="AF52" s="10" t="s">
        <v>36</v>
      </c>
    </row>
    <row r="53" spans="2:32" ht="15.6" x14ac:dyDescent="0.3">
      <c r="B53" s="45" t="s">
        <v>109</v>
      </c>
      <c r="C53"/>
      <c r="D53" s="58"/>
      <c r="E53" s="58"/>
      <c r="F53" s="58"/>
      <c r="G53" s="180"/>
      <c r="H53"/>
      <c r="S53" s="380" t="s">
        <v>86</v>
      </c>
      <c r="T53" s="380"/>
      <c r="U53" s="380"/>
      <c r="V53" s="401">
        <f>AD3+AD10+SUM(AD12:AD17)+SUM(AD19:AD22)+AD28+AD32+AD35</f>
        <v>16066.599999999999</v>
      </c>
      <c r="W53" s="401">
        <f>(V3+V10+V12+V21+SUM(V35:V36))</f>
        <v>7681.16</v>
      </c>
      <c r="X53" s="401">
        <f>V53-W53</f>
        <v>8385.4399999999987</v>
      </c>
      <c r="Y53" s="381">
        <f>W53/V53*100</f>
        <v>47.808248167004848</v>
      </c>
      <c r="AA53" s="137"/>
      <c r="AB53" s="39" t="s">
        <v>32</v>
      </c>
      <c r="AC53" s="38">
        <v>1</v>
      </c>
      <c r="AD53" s="346">
        <f>AC53/AC57*100</f>
        <v>7.6923076923076925</v>
      </c>
      <c r="AE53" s="7">
        <f>SUM(V21:X21)</f>
        <v>2673</v>
      </c>
      <c r="AF53" s="43">
        <f>AE53/AE57*100</f>
        <v>19.304991420003816</v>
      </c>
    </row>
    <row r="54" spans="2:32" ht="15.75" customHeight="1" x14ac:dyDescent="0.3">
      <c r="C54"/>
      <c r="D54" s="58"/>
      <c r="E54" s="58"/>
      <c r="F54" s="58"/>
      <c r="G54" s="180"/>
      <c r="H54"/>
      <c r="S54" s="380" t="s">
        <v>87</v>
      </c>
      <c r="T54" s="380"/>
      <c r="U54" s="380"/>
      <c r="V54" s="401">
        <f>SUM(AD4:AD9)+AD11+AD18+SUM(AD23:AD27)+SUM(AD29:AD31)+SUM(AD33:AD34)+SUM(AD37:AD45)</f>
        <v>17597.240000000002</v>
      </c>
      <c r="W54" s="401">
        <f>(V7+V6+V23+SUM(V29:V30)+V27+V41)</f>
        <v>2846</v>
      </c>
      <c r="X54" s="401">
        <f>V54-W54</f>
        <v>14751.240000000002</v>
      </c>
      <c r="Y54" s="381">
        <f>W54/V54*100</f>
        <v>16.172990764460788</v>
      </c>
      <c r="AA54" s="137"/>
      <c r="AB54" s="40" t="s">
        <v>29</v>
      </c>
      <c r="AC54" s="4">
        <v>5</v>
      </c>
      <c r="AD54" s="43">
        <f>AC54/AC57*100</f>
        <v>38.461538461538467</v>
      </c>
      <c r="AE54" s="7">
        <f>SUM(V10:X10)+SUM(V27:X27)+SUM(V30:X30)+SUM(V36:X36)+SUM(V41:X41)</f>
        <v>8692</v>
      </c>
      <c r="AF54" s="43">
        <f>AE54/AE57*100</f>
        <v>62.775527655321042</v>
      </c>
    </row>
    <row r="55" spans="2:32" ht="15.6" x14ac:dyDescent="0.3">
      <c r="C55"/>
      <c r="D55" s="58"/>
      <c r="E55" s="58"/>
      <c r="F55" s="58"/>
      <c r="G55" s="180"/>
      <c r="H55"/>
      <c r="R55" s="380"/>
      <c r="S55" s="380"/>
      <c r="T55" s="380"/>
      <c r="U55" s="380"/>
      <c r="V55" s="403">
        <f>SUM(V53:V54)</f>
        <v>33663.839999999997</v>
      </c>
      <c r="W55" s="403">
        <f>SUM(W53:W54)</f>
        <v>10527.16</v>
      </c>
      <c r="X55" s="696">
        <f>SUM(X53:X54)</f>
        <v>23136.68</v>
      </c>
      <c r="Y55" s="404">
        <f>W55/V55*100</f>
        <v>31.271417639817685</v>
      </c>
      <c r="AB55" s="39" t="s">
        <v>30</v>
      </c>
      <c r="AC55" s="4">
        <v>6</v>
      </c>
      <c r="AD55" s="43">
        <f>AC55/AC57*100</f>
        <v>46.153846153846153</v>
      </c>
      <c r="AE55" s="7">
        <f>SUM(V3:X3)+SUM(V6:X7)+SUM(V23:X23)+SUM(V35:X35)+SUM(V29:X29)</f>
        <v>1823.1599999999999</v>
      </c>
      <c r="AF55" s="43">
        <f>AE55/AE57*100</f>
        <v>13.167260814550749</v>
      </c>
    </row>
    <row r="56" spans="2:32" ht="15" customHeight="1" x14ac:dyDescent="0.3">
      <c r="C56"/>
      <c r="D56" s="58"/>
      <c r="E56" s="58"/>
      <c r="F56" s="58"/>
      <c r="G56" s="180"/>
      <c r="H56"/>
      <c r="AB56" s="39" t="s">
        <v>31</v>
      </c>
      <c r="AC56" s="405">
        <v>1</v>
      </c>
      <c r="AD56" s="43">
        <f>AC56/AC57*100</f>
        <v>7.6923076923076925</v>
      </c>
      <c r="AE56" s="7">
        <f>SUM(V12:X12)</f>
        <v>658</v>
      </c>
      <c r="AF56" s="43">
        <f>AE56/AE57*100</f>
        <v>4.7522201101243962</v>
      </c>
    </row>
    <row r="57" spans="2:32" ht="31.2" x14ac:dyDescent="0.3">
      <c r="C57"/>
      <c r="D57" s="58"/>
      <c r="E57" s="58"/>
      <c r="F57" s="58"/>
      <c r="G57" s="180"/>
      <c r="H57"/>
      <c r="S57" s="394" t="s">
        <v>111</v>
      </c>
      <c r="V57" s="402" t="s">
        <v>113</v>
      </c>
      <c r="W57" s="402" t="s">
        <v>114</v>
      </c>
      <c r="X57" s="402" t="s">
        <v>40</v>
      </c>
      <c r="Y57" s="402" t="s">
        <v>108</v>
      </c>
      <c r="AC57" s="41">
        <f>SUM(AC53:AC56)</f>
        <v>13</v>
      </c>
      <c r="AD57" s="44">
        <f>SUM(AD53:AD56)</f>
        <v>100.00000000000001</v>
      </c>
      <c r="AE57" s="42">
        <f>SUM(AE53:AE56)</f>
        <v>13846.16</v>
      </c>
      <c r="AF57" s="44">
        <f>SUM(AF53:AF56)</f>
        <v>100</v>
      </c>
    </row>
    <row r="58" spans="2:32" ht="15" customHeight="1" x14ac:dyDescent="0.3">
      <c r="C58"/>
      <c r="D58" s="58"/>
      <c r="E58" s="58"/>
      <c r="F58" s="58"/>
      <c r="G58" s="180"/>
      <c r="H58"/>
      <c r="S58" s="380" t="s">
        <v>86</v>
      </c>
      <c r="V58" s="401">
        <f>V3+V10+SUM(V12:V17)+SUM(V19:V22)+V28+V32+SUM(V35:V36)</f>
        <v>7681.16</v>
      </c>
      <c r="W58" s="401">
        <f>SUM(W3:X3)+SUM(W10:X10)+SUM(W12:X17)+SUM(W19:X22)+SUM(W28:X28)+SUM(W32:X32)+SUM(W35:X36)+AD3+AD10+SUM(AD12:AD17)+SUM(AD19:AD22)+AD28+AD32+AD35</f>
        <v>18340.599999999999</v>
      </c>
      <c r="X58" s="401">
        <f>W58-V58</f>
        <v>10659.439999999999</v>
      </c>
      <c r="Y58" s="381">
        <f>V58/W58*100</f>
        <v>41.880636402298727</v>
      </c>
    </row>
    <row r="59" spans="2:32" ht="15.6" x14ac:dyDescent="0.3">
      <c r="C59"/>
      <c r="D59" s="58"/>
      <c r="E59" s="58"/>
      <c r="F59" s="58"/>
      <c r="G59" s="180"/>
      <c r="H59"/>
      <c r="S59" s="380" t="s">
        <v>87</v>
      </c>
      <c r="V59" s="401">
        <f>SUM(V4:V9)+V11+V18+SUM(V23:V27)+SUM(V29:V31)+V33+SUM(V37:V45)</f>
        <v>2846</v>
      </c>
      <c r="W59" s="401">
        <f>SUM(W4:X9)+SUM(W11:X11)+SUM(W18:X18)+SUM(W24:X27)+SUM(W29:X31)+SUM(W33:X34)+SUM(W37:X45)+SUM(AD4:AD9)+AD11+AD18+SUM(AD23:AD27)+SUM(AD29:AD31)+SUM(AD33:AD34)+SUM(AD37:AD45)</f>
        <v>18642.240000000002</v>
      </c>
      <c r="X59" s="401">
        <f>W59-V59</f>
        <v>15796.240000000002</v>
      </c>
      <c r="Y59" s="381">
        <f>V59/W59*100</f>
        <v>15.26640575381499</v>
      </c>
    </row>
    <row r="60" spans="2:32" ht="15.6" x14ac:dyDescent="0.3">
      <c r="C60"/>
      <c r="D60" s="58"/>
      <c r="E60" s="58"/>
      <c r="F60" s="58"/>
      <c r="G60" s="180"/>
      <c r="H60"/>
      <c r="V60" s="403">
        <f>SUM(V58:V59)</f>
        <v>10527.16</v>
      </c>
      <c r="W60" s="403">
        <f>SUM(W58:W59)</f>
        <v>36982.839999999997</v>
      </c>
      <c r="X60" s="696">
        <f>SUM(X58:X59)</f>
        <v>26455.68</v>
      </c>
      <c r="Y60" s="404">
        <f>V60/W60*100</f>
        <v>28.46498538240979</v>
      </c>
      <c r="AD60" s="1"/>
    </row>
    <row r="61" spans="2:32" x14ac:dyDescent="0.3">
      <c r="AD61" s="1"/>
    </row>
    <row r="62" spans="2:32" x14ac:dyDescent="0.3">
      <c r="Z62"/>
      <c r="AA62"/>
      <c r="AB62"/>
      <c r="AC62"/>
      <c r="AD62" s="1"/>
    </row>
    <row r="63" spans="2:32" x14ac:dyDescent="0.3">
      <c r="Z63"/>
      <c r="AA63"/>
      <c r="AB63"/>
      <c r="AC63"/>
      <c r="AD63" s="1"/>
    </row>
  </sheetData>
  <mergeCells count="204">
    <mergeCell ref="X15:X16"/>
    <mergeCell ref="X33:X34"/>
    <mergeCell ref="X37:X38"/>
    <mergeCell ref="X39:X40"/>
    <mergeCell ref="X44:X45"/>
    <mergeCell ref="AE15:AE16"/>
    <mergeCell ref="AE19:AE20"/>
    <mergeCell ref="Z15:Z16"/>
    <mergeCell ref="W15:W16"/>
    <mergeCell ref="W33:W34"/>
    <mergeCell ref="E37:E38"/>
    <mergeCell ref="E39:E40"/>
    <mergeCell ref="D37:D38"/>
    <mergeCell ref="D44:D45"/>
    <mergeCell ref="E44:E45"/>
    <mergeCell ref="F44:F45"/>
    <mergeCell ref="G44:G45"/>
    <mergeCell ref="D41:D43"/>
    <mergeCell ref="E41:E43"/>
    <mergeCell ref="F41:F43"/>
    <mergeCell ref="G41:G43"/>
    <mergeCell ref="G39:G40"/>
    <mergeCell ref="R41:R43"/>
    <mergeCell ref="T39:T40"/>
    <mergeCell ref="U39:U40"/>
    <mergeCell ref="V39:V40"/>
    <mergeCell ref="Z39:Z40"/>
    <mergeCell ref="T37:T38"/>
    <mergeCell ref="U37:U38"/>
    <mergeCell ref="V37:V38"/>
    <mergeCell ref="Z37:Z38"/>
    <mergeCell ref="W37:W38"/>
    <mergeCell ref="W39:W40"/>
    <mergeCell ref="A37:A38"/>
    <mergeCell ref="A33:A34"/>
    <mergeCell ref="O33:O34"/>
    <mergeCell ref="P33:P34"/>
    <mergeCell ref="R33:R34"/>
    <mergeCell ref="P37:P38"/>
    <mergeCell ref="B37:B38"/>
    <mergeCell ref="C37:C38"/>
    <mergeCell ref="H37:H38"/>
    <mergeCell ref="I37:I38"/>
    <mergeCell ref="J37:J38"/>
    <mergeCell ref="K37:K38"/>
    <mergeCell ref="L37:L38"/>
    <mergeCell ref="M37:M38"/>
    <mergeCell ref="N37:N38"/>
    <mergeCell ref="O37:O38"/>
    <mergeCell ref="L35:L36"/>
    <mergeCell ref="M35:M36"/>
    <mergeCell ref="N35:N36"/>
    <mergeCell ref="O35:O36"/>
    <mergeCell ref="R37:R38"/>
    <mergeCell ref="F37:F38"/>
    <mergeCell ref="G37:G38"/>
    <mergeCell ref="F35:F36"/>
    <mergeCell ref="L33:L34"/>
    <mergeCell ref="M33:M34"/>
    <mergeCell ref="N33:N34"/>
    <mergeCell ref="S15:S16"/>
    <mergeCell ref="T15:T16"/>
    <mergeCell ref="U15:U16"/>
    <mergeCell ref="V15:V16"/>
    <mergeCell ref="O15:O16"/>
    <mergeCell ref="P15:P16"/>
    <mergeCell ref="R15:R16"/>
    <mergeCell ref="L15:L16"/>
    <mergeCell ref="M15:M16"/>
    <mergeCell ref="N15:N16"/>
    <mergeCell ref="AB1:AD1"/>
    <mergeCell ref="AE1:AE2"/>
    <mergeCell ref="AA1:AA2"/>
    <mergeCell ref="M1:M2"/>
    <mergeCell ref="N1:N2"/>
    <mergeCell ref="O1:O2"/>
    <mergeCell ref="P1:P2"/>
    <mergeCell ref="R1:R2"/>
    <mergeCell ref="L1:L2"/>
    <mergeCell ref="Q1:Q2"/>
    <mergeCell ref="S1:Z1"/>
    <mergeCell ref="J41:J43"/>
    <mergeCell ref="K41:K43"/>
    <mergeCell ref="L41:L43"/>
    <mergeCell ref="M41:M43"/>
    <mergeCell ref="N41:N43"/>
    <mergeCell ref="AE37:AE38"/>
    <mergeCell ref="AE39:AE40"/>
    <mergeCell ref="AE41:AE43"/>
    <mergeCell ref="B39:B40"/>
    <mergeCell ref="C39:C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P41:P43"/>
    <mergeCell ref="O41:O43"/>
    <mergeCell ref="S39:S40"/>
    <mergeCell ref="S37:S38"/>
    <mergeCell ref="R39:R40"/>
    <mergeCell ref="O44:O45"/>
    <mergeCell ref="P44:P45"/>
    <mergeCell ref="R44:R45"/>
    <mergeCell ref="AE44:AE45"/>
    <mergeCell ref="J44:J45"/>
    <mergeCell ref="K44:K45"/>
    <mergeCell ref="L44:L45"/>
    <mergeCell ref="M44:M45"/>
    <mergeCell ref="N44:N45"/>
    <mergeCell ref="S44:S45"/>
    <mergeCell ref="T44:T45"/>
    <mergeCell ref="U44:U45"/>
    <mergeCell ref="V44:V45"/>
    <mergeCell ref="Z44:Z45"/>
    <mergeCell ref="W44:W45"/>
    <mergeCell ref="A44:A45"/>
    <mergeCell ref="A41:A43"/>
    <mergeCell ref="A39:A40"/>
    <mergeCell ref="B44:B45"/>
    <mergeCell ref="C44:C45"/>
    <mergeCell ref="H44:H45"/>
    <mergeCell ref="I44:I45"/>
    <mergeCell ref="B41:B43"/>
    <mergeCell ref="C41:C43"/>
    <mergeCell ref="H41:H43"/>
    <mergeCell ref="I41:I43"/>
    <mergeCell ref="F39:F40"/>
    <mergeCell ref="D39:D40"/>
    <mergeCell ref="B1:B2"/>
    <mergeCell ref="C1:C2"/>
    <mergeCell ref="H1:H2"/>
    <mergeCell ref="J1:J2"/>
    <mergeCell ref="K1:K2"/>
    <mergeCell ref="I1:I2"/>
    <mergeCell ref="B33:B34"/>
    <mergeCell ref="C33:C34"/>
    <mergeCell ref="H33:H34"/>
    <mergeCell ref="I33:I34"/>
    <mergeCell ref="D1:D2"/>
    <mergeCell ref="E1:E2"/>
    <mergeCell ref="F1:G1"/>
    <mergeCell ref="J15:J16"/>
    <mergeCell ref="K15:K16"/>
    <mergeCell ref="D29:D30"/>
    <mergeCell ref="E29:E30"/>
    <mergeCell ref="F29:F30"/>
    <mergeCell ref="G29:G30"/>
    <mergeCell ref="D15:D16"/>
    <mergeCell ref="E15:E16"/>
    <mergeCell ref="F15:F16"/>
    <mergeCell ref="G15:G16"/>
    <mergeCell ref="B29:B30"/>
    <mergeCell ref="B35:B36"/>
    <mergeCell ref="C35:C36"/>
    <mergeCell ref="H35:H36"/>
    <mergeCell ref="I35:I36"/>
    <mergeCell ref="J35:J36"/>
    <mergeCell ref="K35:K36"/>
    <mergeCell ref="H15:H16"/>
    <mergeCell ref="I15:I16"/>
    <mergeCell ref="G35:G36"/>
    <mergeCell ref="B15:B16"/>
    <mergeCell ref="C29:C30"/>
    <mergeCell ref="H29:H30"/>
    <mergeCell ref="I29:I30"/>
    <mergeCell ref="J29:J30"/>
    <mergeCell ref="K29:K30"/>
    <mergeCell ref="J33:J34"/>
    <mergeCell ref="K33:K34"/>
    <mergeCell ref="F33:F34"/>
    <mergeCell ref="G33:G34"/>
    <mergeCell ref="E33:E34"/>
    <mergeCell ref="D33:D34"/>
    <mergeCell ref="D35:D36"/>
    <mergeCell ref="E35:E36"/>
    <mergeCell ref="A15:A16"/>
    <mergeCell ref="C15:C16"/>
    <mergeCell ref="AE35:AE36"/>
    <mergeCell ref="AA29:AA30"/>
    <mergeCell ref="AB29:AB30"/>
    <mergeCell ref="AE29:AE30"/>
    <mergeCell ref="P35:P36"/>
    <mergeCell ref="R35:R36"/>
    <mergeCell ref="AA35:AA36"/>
    <mergeCell ref="AB35:AB36"/>
    <mergeCell ref="AE33:AE34"/>
    <mergeCell ref="S33:S34"/>
    <mergeCell ref="T33:T34"/>
    <mergeCell ref="U33:U34"/>
    <mergeCell ref="V33:V34"/>
    <mergeCell ref="Z33:Z34"/>
    <mergeCell ref="R29:R30"/>
    <mergeCell ref="L29:L30"/>
    <mergeCell ref="A29:A30"/>
    <mergeCell ref="A35:A36"/>
    <mergeCell ref="M29:M30"/>
    <mergeCell ref="N29:N30"/>
    <mergeCell ref="O29:O30"/>
    <mergeCell ref="P29:P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8516-9445-460F-A29F-311FC43855B4}">
  <dimension ref="A1:AJ66"/>
  <sheetViews>
    <sheetView topLeftCell="F43" zoomScale="80" zoomScaleNormal="80" workbookViewId="0">
      <pane xSplit="4" topLeftCell="L1" activePane="topRight" state="frozen"/>
      <selection activeCell="F1" sqref="F1"/>
      <selection pane="topRight" activeCell="J1" sqref="J1:J1048576"/>
    </sheetView>
  </sheetViews>
  <sheetFormatPr baseColWidth="10" defaultColWidth="11.44140625" defaultRowHeight="14.4" x14ac:dyDescent="0.3"/>
  <cols>
    <col min="1" max="1" width="3.44140625" style="2" bestFit="1" customWidth="1"/>
    <col min="2" max="2" width="12.109375" style="2" bestFit="1" customWidth="1"/>
    <col min="3" max="3" width="15.109375" style="2" bestFit="1" customWidth="1"/>
    <col min="4" max="4" width="18.109375" style="1" bestFit="1" customWidth="1"/>
    <col min="5" max="7" width="15.109375" style="2" customWidth="1"/>
    <col min="8" max="8" width="11.44140625" style="2" bestFit="1" customWidth="1"/>
    <col min="9" max="9" width="26.6640625" style="2" customWidth="1"/>
    <col min="10" max="10" width="8.5546875" style="2" customWidth="1"/>
    <col min="11" max="11" width="15.6640625" style="2" bestFit="1" customWidth="1"/>
    <col min="12" max="12" width="12.109375" style="2" customWidth="1"/>
    <col min="13" max="13" width="10.6640625" style="2" customWidth="1"/>
    <col min="14" max="14" width="15.88671875" style="2" bestFit="1" customWidth="1"/>
    <col min="15" max="15" width="7.88671875" style="2" bestFit="1" customWidth="1"/>
    <col min="16" max="16" width="11.88671875" style="2" bestFit="1" customWidth="1"/>
    <col min="17" max="17" width="13.44140625" style="2" bestFit="1" customWidth="1"/>
    <col min="18" max="18" width="12" style="1" bestFit="1" customWidth="1"/>
    <col min="19" max="19" width="11.5546875" style="1" bestFit="1" customWidth="1"/>
    <col min="20" max="20" width="5.109375" style="1" bestFit="1" customWidth="1"/>
    <col min="21" max="21" width="4.44140625" style="1" bestFit="1" customWidth="1"/>
    <col min="22" max="22" width="12.88671875" style="1" bestFit="1" customWidth="1"/>
    <col min="23" max="24" width="11.5546875" style="1" customWidth="1"/>
    <col min="25" max="25" width="14.6640625" style="1" bestFit="1" customWidth="1"/>
    <col min="26" max="26" width="11.5546875" style="1" bestFit="1" customWidth="1"/>
    <col min="27" max="27" width="5.109375" style="1" bestFit="1" customWidth="1"/>
    <col min="28" max="28" width="11.5546875" style="2" bestFit="1" customWidth="1"/>
    <col min="29" max="29" width="12.88671875" style="2" bestFit="1" customWidth="1"/>
    <col min="30" max="30" width="13.77734375" style="2" bestFit="1" customWidth="1"/>
    <col min="31" max="31" width="11.5546875" style="1" bestFit="1" customWidth="1"/>
    <col min="32" max="32" width="6.5546875" style="2" bestFit="1" customWidth="1"/>
    <col min="33" max="33" width="15.6640625" style="2" bestFit="1" customWidth="1"/>
    <col min="34" max="34" width="7.6640625" style="2" bestFit="1" customWidth="1"/>
    <col min="35" max="35" width="6.5546875" style="2" bestFit="1" customWidth="1"/>
    <col min="36" max="36" width="11.44140625" style="2"/>
    <col min="37" max="37" width="7.109375" style="2" bestFit="1" customWidth="1"/>
    <col min="38" max="16384" width="11.44140625" style="2"/>
  </cols>
  <sheetData>
    <row r="1" spans="1:36" ht="30" customHeight="1" x14ac:dyDescent="0.3">
      <c r="B1" s="700" t="s">
        <v>8</v>
      </c>
      <c r="C1" s="700" t="s">
        <v>19</v>
      </c>
      <c r="D1" s="700" t="s">
        <v>45</v>
      </c>
      <c r="E1" s="700" t="s">
        <v>41</v>
      </c>
      <c r="F1" s="708" t="s">
        <v>42</v>
      </c>
      <c r="G1" s="708"/>
      <c r="H1" s="700" t="s">
        <v>15</v>
      </c>
      <c r="I1" s="700" t="s">
        <v>18</v>
      </c>
      <c r="J1" s="700" t="s">
        <v>7</v>
      </c>
      <c r="K1" s="700" t="s">
        <v>6</v>
      </c>
      <c r="L1" s="700" t="s">
        <v>5</v>
      </c>
      <c r="M1" s="700" t="s">
        <v>11</v>
      </c>
      <c r="N1" s="700" t="s">
        <v>3</v>
      </c>
      <c r="O1" s="700" t="s">
        <v>2</v>
      </c>
      <c r="P1" s="700" t="s">
        <v>4</v>
      </c>
      <c r="Q1" s="707" t="s">
        <v>71</v>
      </c>
      <c r="R1" s="811" t="s">
        <v>22</v>
      </c>
      <c r="S1" s="732" t="s">
        <v>9</v>
      </c>
      <c r="T1" s="733"/>
      <c r="U1" s="733"/>
      <c r="V1" s="733"/>
      <c r="W1" s="733"/>
      <c r="X1" s="733"/>
      <c r="Y1" s="733"/>
      <c r="Z1" s="734"/>
      <c r="AA1" s="702" t="s">
        <v>25</v>
      </c>
      <c r="AB1" s="704" t="s">
        <v>13</v>
      </c>
      <c r="AC1" s="705"/>
      <c r="AD1" s="706"/>
      <c r="AE1" s="697" t="s">
        <v>1</v>
      </c>
      <c r="AF1" s="8"/>
    </row>
    <row r="2" spans="1:36" ht="28.8" x14ac:dyDescent="0.3">
      <c r="B2" s="701"/>
      <c r="C2" s="701"/>
      <c r="D2" s="701"/>
      <c r="E2" s="701"/>
      <c r="F2" s="14" t="s">
        <v>43</v>
      </c>
      <c r="G2" s="14" t="s">
        <v>44</v>
      </c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812"/>
      <c r="S2" s="163" t="s">
        <v>14</v>
      </c>
      <c r="T2" s="164" t="s">
        <v>27</v>
      </c>
      <c r="U2" s="35" t="s">
        <v>28</v>
      </c>
      <c r="V2" s="35" t="s">
        <v>24</v>
      </c>
      <c r="W2" s="14" t="s">
        <v>110</v>
      </c>
      <c r="X2" s="676" t="s">
        <v>105</v>
      </c>
      <c r="Y2" s="35" t="s">
        <v>81</v>
      </c>
      <c r="Z2" s="542" t="s">
        <v>106</v>
      </c>
      <c r="AA2" s="703"/>
      <c r="AB2" s="68" t="s">
        <v>14</v>
      </c>
      <c r="AC2" s="14" t="s">
        <v>69</v>
      </c>
      <c r="AD2" s="94" t="s">
        <v>70</v>
      </c>
      <c r="AE2" s="698"/>
      <c r="AF2" s="8"/>
    </row>
    <row r="3" spans="1:36" ht="28.8" x14ac:dyDescent="0.3">
      <c r="A3" s="25">
        <v>1</v>
      </c>
      <c r="B3" s="46" t="s">
        <v>118</v>
      </c>
      <c r="C3" s="25" t="s">
        <v>129</v>
      </c>
      <c r="D3" s="46" t="s">
        <v>52</v>
      </c>
      <c r="E3" s="25" t="s">
        <v>115</v>
      </c>
      <c r="F3" s="207">
        <v>45644</v>
      </c>
      <c r="G3" s="207">
        <v>46738</v>
      </c>
      <c r="H3" s="25" t="s">
        <v>168</v>
      </c>
      <c r="I3" s="25" t="s">
        <v>150</v>
      </c>
      <c r="J3" s="46" t="s">
        <v>16</v>
      </c>
      <c r="K3" s="19">
        <v>87</v>
      </c>
      <c r="L3" s="25" t="s">
        <v>161</v>
      </c>
      <c r="M3" s="25" t="s">
        <v>12</v>
      </c>
      <c r="N3" s="56">
        <v>45658</v>
      </c>
      <c r="O3" s="25" t="s">
        <v>0</v>
      </c>
      <c r="P3" s="207">
        <v>45644</v>
      </c>
      <c r="Q3" s="208">
        <f>1077.95/AA3</f>
        <v>2155.9</v>
      </c>
      <c r="R3" s="105">
        <v>45643</v>
      </c>
      <c r="S3" s="209"/>
      <c r="T3" s="210"/>
      <c r="U3" s="210"/>
      <c r="V3" s="211"/>
      <c r="W3" s="577"/>
      <c r="X3" s="569"/>
      <c r="Y3" s="677"/>
      <c r="Z3" s="665"/>
      <c r="AA3" s="111">
        <v>0.5</v>
      </c>
      <c r="AB3" s="115">
        <v>45643</v>
      </c>
      <c r="AC3" s="47">
        <f>Q3</f>
        <v>2155.9</v>
      </c>
      <c r="AD3" s="71">
        <v>47.32</v>
      </c>
      <c r="AE3" s="212"/>
    </row>
    <row r="4" spans="1:36" ht="30" customHeight="1" x14ac:dyDescent="0.3">
      <c r="A4" s="845">
        <v>1</v>
      </c>
      <c r="B4" s="849" t="s">
        <v>118</v>
      </c>
      <c r="C4" s="845" t="s">
        <v>130</v>
      </c>
      <c r="D4" s="852" t="s">
        <v>57</v>
      </c>
      <c r="E4" s="855" t="s">
        <v>116</v>
      </c>
      <c r="F4" s="858">
        <v>44908</v>
      </c>
      <c r="G4" s="858">
        <v>46003</v>
      </c>
      <c r="H4" s="845" t="s">
        <v>168</v>
      </c>
      <c r="I4" s="845" t="s">
        <v>151</v>
      </c>
      <c r="J4" s="849" t="s">
        <v>16</v>
      </c>
      <c r="K4" s="844">
        <v>86</v>
      </c>
      <c r="L4" s="845" t="s">
        <v>161</v>
      </c>
      <c r="M4" s="845" t="s">
        <v>12</v>
      </c>
      <c r="N4" s="846">
        <v>45658</v>
      </c>
      <c r="O4" s="845" t="s">
        <v>0</v>
      </c>
      <c r="P4" s="132">
        <v>45324</v>
      </c>
      <c r="Q4" s="184">
        <f>1022.03/AA4</f>
        <v>2044.06</v>
      </c>
      <c r="R4" s="847">
        <v>45482</v>
      </c>
      <c r="S4" s="420">
        <v>45551</v>
      </c>
      <c r="T4" s="422" t="s">
        <v>31</v>
      </c>
      <c r="U4" s="422">
        <v>100</v>
      </c>
      <c r="V4" s="424">
        <v>4727.07</v>
      </c>
      <c r="W4" s="577">
        <v>624</v>
      </c>
      <c r="X4" s="560"/>
      <c r="Y4" s="678">
        <f>V4/SUM(AD4:AD6)*100</f>
        <v>518.72860152752173</v>
      </c>
      <c r="Z4" s="666">
        <v>1</v>
      </c>
      <c r="AA4" s="111">
        <v>0.5</v>
      </c>
      <c r="AB4" s="115">
        <v>45324</v>
      </c>
      <c r="AC4" s="47">
        <f>Q4</f>
        <v>2044.06</v>
      </c>
      <c r="AD4" s="71">
        <v>927.14</v>
      </c>
      <c r="AE4" s="843"/>
    </row>
    <row r="5" spans="1:36" x14ac:dyDescent="0.3">
      <c r="A5" s="845"/>
      <c r="B5" s="849"/>
      <c r="C5" s="845"/>
      <c r="D5" s="853"/>
      <c r="E5" s="856"/>
      <c r="F5" s="856"/>
      <c r="G5" s="856"/>
      <c r="H5" s="845"/>
      <c r="I5" s="845"/>
      <c r="J5" s="849"/>
      <c r="K5" s="844"/>
      <c r="L5" s="845"/>
      <c r="M5" s="845"/>
      <c r="N5" s="846"/>
      <c r="O5" s="845"/>
      <c r="P5" s="133"/>
      <c r="Q5" s="185"/>
      <c r="R5" s="847"/>
      <c r="S5" s="420"/>
      <c r="T5" s="422"/>
      <c r="U5" s="422"/>
      <c r="V5" s="424"/>
      <c r="W5" s="424"/>
      <c r="X5" s="560"/>
      <c r="Y5" s="678"/>
      <c r="Z5" s="666"/>
      <c r="AA5" s="111">
        <v>0.5</v>
      </c>
      <c r="AB5" s="115">
        <v>45337</v>
      </c>
      <c r="AC5" s="134">
        <f>Q5*AA5</f>
        <v>0</v>
      </c>
      <c r="AD5" s="71">
        <v>-6.47</v>
      </c>
      <c r="AE5" s="843"/>
    </row>
    <row r="6" spans="1:36" x14ac:dyDescent="0.3">
      <c r="A6" s="845"/>
      <c r="B6" s="849"/>
      <c r="C6" s="845"/>
      <c r="D6" s="854"/>
      <c r="E6" s="857"/>
      <c r="F6" s="857"/>
      <c r="G6" s="857"/>
      <c r="H6" s="845"/>
      <c r="I6" s="845"/>
      <c r="J6" s="849"/>
      <c r="K6" s="844"/>
      <c r="L6" s="845"/>
      <c r="M6" s="845"/>
      <c r="N6" s="846"/>
      <c r="O6" s="845"/>
      <c r="P6" s="133"/>
      <c r="Q6" s="186"/>
      <c r="R6" s="847"/>
      <c r="S6" s="421"/>
      <c r="T6" s="423"/>
      <c r="U6" s="423"/>
      <c r="V6" s="425"/>
      <c r="W6" s="424"/>
      <c r="X6" s="561"/>
      <c r="Y6" s="679"/>
      <c r="Z6" s="667"/>
      <c r="AA6" s="111">
        <v>0.5</v>
      </c>
      <c r="AB6" s="115">
        <v>45435</v>
      </c>
      <c r="AC6" s="134">
        <f>Q6*AA6</f>
        <v>0</v>
      </c>
      <c r="AD6" s="71">
        <v>-9.39</v>
      </c>
      <c r="AE6" s="843"/>
    </row>
    <row r="7" spans="1:36" x14ac:dyDescent="0.3">
      <c r="A7" s="763">
        <v>1</v>
      </c>
      <c r="B7" s="762" t="s">
        <v>118</v>
      </c>
      <c r="C7" s="763" t="s">
        <v>131</v>
      </c>
      <c r="D7" s="764" t="s">
        <v>54</v>
      </c>
      <c r="E7" s="760" t="s">
        <v>116</v>
      </c>
      <c r="F7" s="754">
        <v>44835</v>
      </c>
      <c r="G7" s="754">
        <v>45929</v>
      </c>
      <c r="H7" s="763" t="s">
        <v>168</v>
      </c>
      <c r="I7" s="763" t="s">
        <v>152</v>
      </c>
      <c r="J7" s="762" t="s">
        <v>16</v>
      </c>
      <c r="K7" s="815">
        <v>85</v>
      </c>
      <c r="L7" s="763" t="s">
        <v>161</v>
      </c>
      <c r="M7" s="763" t="s">
        <v>12</v>
      </c>
      <c r="N7" s="816">
        <v>45658</v>
      </c>
      <c r="O7" s="763" t="s">
        <v>0</v>
      </c>
      <c r="P7" s="6">
        <v>45239</v>
      </c>
      <c r="Q7" s="97">
        <f>869.38/AA7</f>
        <v>1738.76</v>
      </c>
      <c r="R7" s="813">
        <v>45482</v>
      </c>
      <c r="S7" s="193">
        <v>45555</v>
      </c>
      <c r="T7" s="49" t="s">
        <v>30</v>
      </c>
      <c r="U7" s="49">
        <v>0</v>
      </c>
      <c r="V7" s="101">
        <v>164.23</v>
      </c>
      <c r="W7" s="101">
        <v>0</v>
      </c>
      <c r="X7" s="562"/>
      <c r="Y7" s="630">
        <f>V7/SUM(AD7:AD8)*100</f>
        <v>17.056123296776338</v>
      </c>
      <c r="Z7" s="668">
        <v>1</v>
      </c>
      <c r="AA7" s="110">
        <v>0.5</v>
      </c>
      <c r="AB7" s="114">
        <v>45266</v>
      </c>
      <c r="AC7" s="7">
        <f>AD7/AA7</f>
        <v>1937.68</v>
      </c>
      <c r="AD7" s="70">
        <v>968.84</v>
      </c>
      <c r="AE7" s="814"/>
    </row>
    <row r="8" spans="1:36" x14ac:dyDescent="0.3">
      <c r="A8" s="763"/>
      <c r="B8" s="762"/>
      <c r="C8" s="763"/>
      <c r="D8" s="765"/>
      <c r="E8" s="761"/>
      <c r="F8" s="761"/>
      <c r="G8" s="761"/>
      <c r="H8" s="763"/>
      <c r="I8" s="763"/>
      <c r="J8" s="762"/>
      <c r="K8" s="815"/>
      <c r="L8" s="763"/>
      <c r="M8" s="763"/>
      <c r="N8" s="816"/>
      <c r="O8" s="763"/>
      <c r="P8" s="6">
        <v>45435</v>
      </c>
      <c r="Q8" s="97">
        <f>959.23/AA8</f>
        <v>1918.46</v>
      </c>
      <c r="R8" s="813"/>
      <c r="S8" s="162"/>
      <c r="T8" s="150"/>
      <c r="U8" s="150"/>
      <c r="V8" s="151"/>
      <c r="W8" s="151"/>
      <c r="X8" s="26"/>
      <c r="Y8" s="680"/>
      <c r="Z8" s="669"/>
      <c r="AA8" s="110">
        <v>0.5</v>
      </c>
      <c r="AB8" s="114">
        <v>45435</v>
      </c>
      <c r="AC8" s="7">
        <f t="shared" ref="AC8:AC22" si="0">AD8/AA8</f>
        <v>-11.92</v>
      </c>
      <c r="AD8" s="70">
        <v>-5.96</v>
      </c>
      <c r="AE8" s="814"/>
      <c r="AG8" s="45"/>
      <c r="AJ8" s="55"/>
    </row>
    <row r="9" spans="1:36" x14ac:dyDescent="0.3">
      <c r="A9" s="763">
        <v>1</v>
      </c>
      <c r="B9" s="836" t="s">
        <v>118</v>
      </c>
      <c r="C9" s="837" t="s">
        <v>162</v>
      </c>
      <c r="D9" s="850" t="s">
        <v>55</v>
      </c>
      <c r="E9" s="872" t="s">
        <v>115</v>
      </c>
      <c r="F9" s="874">
        <v>45212</v>
      </c>
      <c r="G9" s="874">
        <v>46307</v>
      </c>
      <c r="H9" s="837" t="s">
        <v>168</v>
      </c>
      <c r="I9" s="837" t="s">
        <v>169</v>
      </c>
      <c r="J9" s="836" t="s">
        <v>16</v>
      </c>
      <c r="K9" s="815">
        <v>84</v>
      </c>
      <c r="L9" s="837" t="s">
        <v>161</v>
      </c>
      <c r="M9" s="837" t="s">
        <v>12</v>
      </c>
      <c r="N9" s="838">
        <v>45658</v>
      </c>
      <c r="O9" s="837" t="s">
        <v>0</v>
      </c>
      <c r="P9" s="11">
        <v>45212</v>
      </c>
      <c r="Q9" s="100">
        <v>1711.25</v>
      </c>
      <c r="R9" s="839" t="s">
        <v>10</v>
      </c>
      <c r="S9" s="841"/>
      <c r="T9" s="859"/>
      <c r="U9" s="859"/>
      <c r="V9" s="861"/>
      <c r="W9" s="861"/>
      <c r="X9" s="593"/>
      <c r="Y9" s="594"/>
      <c r="Z9" s="863"/>
      <c r="AA9" s="110">
        <v>0.5</v>
      </c>
      <c r="AB9" s="116">
        <v>45266</v>
      </c>
      <c r="AC9" s="13">
        <f>AD9/AA9</f>
        <v>2084.46</v>
      </c>
      <c r="AD9" s="73">
        <v>1042.23</v>
      </c>
      <c r="AE9" s="840"/>
    </row>
    <row r="10" spans="1:36" x14ac:dyDescent="0.3">
      <c r="A10" s="763"/>
      <c r="B10" s="836"/>
      <c r="C10" s="837"/>
      <c r="D10" s="851"/>
      <c r="E10" s="873"/>
      <c r="F10" s="873"/>
      <c r="G10" s="873"/>
      <c r="H10" s="837"/>
      <c r="I10" s="837"/>
      <c r="J10" s="836"/>
      <c r="K10" s="815"/>
      <c r="L10" s="837"/>
      <c r="M10" s="837"/>
      <c r="N10" s="838"/>
      <c r="O10" s="837"/>
      <c r="P10" s="11">
        <v>45435</v>
      </c>
      <c r="Q10" s="98">
        <f>1048.63/AA10</f>
        <v>2097.2600000000002</v>
      </c>
      <c r="R10" s="839"/>
      <c r="S10" s="842"/>
      <c r="T10" s="860"/>
      <c r="U10" s="860"/>
      <c r="V10" s="862"/>
      <c r="W10" s="862"/>
      <c r="X10" s="595"/>
      <c r="Y10" s="596"/>
      <c r="Z10" s="864"/>
      <c r="AA10" s="110">
        <v>0.5</v>
      </c>
      <c r="AB10" s="116">
        <v>45435</v>
      </c>
      <c r="AC10" s="13">
        <f t="shared" si="0"/>
        <v>7.86</v>
      </c>
      <c r="AD10" s="73">
        <v>3.93</v>
      </c>
      <c r="AE10" s="840"/>
      <c r="AG10" s="57"/>
    </row>
    <row r="11" spans="1:36" x14ac:dyDescent="0.3">
      <c r="A11" s="763">
        <v>1</v>
      </c>
      <c r="B11" s="762" t="s">
        <v>118</v>
      </c>
      <c r="C11" s="763" t="s">
        <v>132</v>
      </c>
      <c r="D11" s="764" t="s">
        <v>53</v>
      </c>
      <c r="E11" s="760" t="s">
        <v>116</v>
      </c>
      <c r="F11" s="754">
        <v>45177</v>
      </c>
      <c r="G11" s="754">
        <v>46272</v>
      </c>
      <c r="H11" s="763" t="s">
        <v>168</v>
      </c>
      <c r="I11" s="763" t="s">
        <v>153</v>
      </c>
      <c r="J11" s="762" t="s">
        <v>16</v>
      </c>
      <c r="K11" s="815">
        <v>83</v>
      </c>
      <c r="L11" s="763" t="s">
        <v>161</v>
      </c>
      <c r="M11" s="763" t="s">
        <v>12</v>
      </c>
      <c r="N11" s="816">
        <v>45658</v>
      </c>
      <c r="O11" s="763" t="s">
        <v>0</v>
      </c>
      <c r="P11" s="6">
        <v>45145</v>
      </c>
      <c r="Q11" s="97">
        <f>952.77/AA11</f>
        <v>1905.54</v>
      </c>
      <c r="R11" s="813">
        <v>45482</v>
      </c>
      <c r="S11" s="162">
        <v>45555</v>
      </c>
      <c r="T11" s="150" t="s">
        <v>30</v>
      </c>
      <c r="U11" s="150">
        <v>0</v>
      </c>
      <c r="V11" s="151">
        <v>613.25</v>
      </c>
      <c r="W11" s="151">
        <v>0</v>
      </c>
      <c r="X11" s="26"/>
      <c r="Y11" s="680">
        <f>V11/SUM(AD11:AD12)*100</f>
        <v>57.907310532379</v>
      </c>
      <c r="Z11" s="669">
        <v>1</v>
      </c>
      <c r="AA11" s="110">
        <v>0.5</v>
      </c>
      <c r="AB11" s="114">
        <v>45266</v>
      </c>
      <c r="AC11" s="7">
        <f t="shared" si="0"/>
        <v>2111.56</v>
      </c>
      <c r="AD11" s="70">
        <v>1055.78</v>
      </c>
      <c r="AE11" s="814"/>
      <c r="AG11" s="57"/>
    </row>
    <row r="12" spans="1:36" x14ac:dyDescent="0.3">
      <c r="A12" s="763"/>
      <c r="B12" s="762"/>
      <c r="C12" s="763"/>
      <c r="D12" s="765"/>
      <c r="E12" s="761"/>
      <c r="F12" s="761"/>
      <c r="G12" s="761"/>
      <c r="H12" s="763"/>
      <c r="I12" s="763"/>
      <c r="J12" s="762"/>
      <c r="K12" s="815"/>
      <c r="L12" s="763"/>
      <c r="M12" s="763"/>
      <c r="N12" s="816"/>
      <c r="O12" s="763"/>
      <c r="P12" s="6">
        <v>45435</v>
      </c>
      <c r="Q12" s="97">
        <f>1061.07/AA12</f>
        <v>2122.14</v>
      </c>
      <c r="R12" s="848"/>
      <c r="S12" s="109"/>
      <c r="T12" s="50"/>
      <c r="U12" s="50"/>
      <c r="V12" s="102"/>
      <c r="W12" s="151"/>
      <c r="X12" s="563"/>
      <c r="Y12" s="631"/>
      <c r="Z12" s="670"/>
      <c r="AA12" s="110">
        <v>0.5</v>
      </c>
      <c r="AB12" s="114">
        <v>45435</v>
      </c>
      <c r="AC12" s="7">
        <f t="shared" si="0"/>
        <v>6.48</v>
      </c>
      <c r="AD12" s="70">
        <v>3.24</v>
      </c>
      <c r="AE12" s="814"/>
      <c r="AF12" s="57"/>
      <c r="AG12" s="57"/>
    </row>
    <row r="13" spans="1:36" x14ac:dyDescent="0.3">
      <c r="A13" s="763">
        <v>1</v>
      </c>
      <c r="B13" s="762" t="s">
        <v>118</v>
      </c>
      <c r="C13" s="763" t="s">
        <v>133</v>
      </c>
      <c r="D13" s="764" t="s">
        <v>53</v>
      </c>
      <c r="E13" s="760" t="s">
        <v>116</v>
      </c>
      <c r="F13" s="754">
        <v>45089</v>
      </c>
      <c r="G13" s="754">
        <v>46184</v>
      </c>
      <c r="H13" s="763" t="s">
        <v>168</v>
      </c>
      <c r="I13" s="763" t="s">
        <v>10</v>
      </c>
      <c r="J13" s="762" t="s">
        <v>16</v>
      </c>
      <c r="K13" s="815">
        <v>82</v>
      </c>
      <c r="L13" s="763" t="s">
        <v>161</v>
      </c>
      <c r="M13" s="763" t="s">
        <v>12</v>
      </c>
      <c r="N13" s="816">
        <v>45658</v>
      </c>
      <c r="O13" s="763" t="s">
        <v>0</v>
      </c>
      <c r="P13" s="6">
        <v>45119</v>
      </c>
      <c r="Q13" s="97">
        <f>953.19/AA13</f>
        <v>1906.38</v>
      </c>
      <c r="R13" s="813">
        <v>45482</v>
      </c>
      <c r="S13" s="193">
        <v>45424</v>
      </c>
      <c r="T13" s="49" t="s">
        <v>29</v>
      </c>
      <c r="U13" s="49">
        <v>0</v>
      </c>
      <c r="V13" s="101">
        <v>1500.79</v>
      </c>
      <c r="W13" s="101">
        <v>454</v>
      </c>
      <c r="X13" s="562"/>
      <c r="Y13" s="630">
        <f>V13/SUM(AD13:AD14)*100</f>
        <v>141.68153539701871</v>
      </c>
      <c r="Z13" s="668">
        <v>1</v>
      </c>
      <c r="AA13" s="110">
        <v>0.5</v>
      </c>
      <c r="AB13" s="114">
        <v>45266</v>
      </c>
      <c r="AC13" s="7">
        <f t="shared" si="0"/>
        <v>2112.4</v>
      </c>
      <c r="AD13" s="70">
        <v>1056.2</v>
      </c>
      <c r="AE13" s="814"/>
      <c r="AF13" s="57"/>
    </row>
    <row r="14" spans="1:36" x14ac:dyDescent="0.3">
      <c r="A14" s="763"/>
      <c r="B14" s="762"/>
      <c r="C14" s="763"/>
      <c r="D14" s="765"/>
      <c r="E14" s="761"/>
      <c r="F14" s="761"/>
      <c r="G14" s="761"/>
      <c r="H14" s="763"/>
      <c r="I14" s="763"/>
      <c r="J14" s="762"/>
      <c r="K14" s="815"/>
      <c r="L14" s="763"/>
      <c r="M14" s="763"/>
      <c r="N14" s="816"/>
      <c r="O14" s="763"/>
      <c r="P14" s="6">
        <v>45435</v>
      </c>
      <c r="Q14" s="97">
        <f>1061.25/AA14</f>
        <v>2122.5</v>
      </c>
      <c r="R14" s="848"/>
      <c r="S14" s="162"/>
      <c r="T14" s="150"/>
      <c r="U14" s="150"/>
      <c r="V14" s="151"/>
      <c r="W14" s="151"/>
      <c r="X14" s="26"/>
      <c r="Y14" s="680"/>
      <c r="Z14" s="669"/>
      <c r="AA14" s="110">
        <v>0.5</v>
      </c>
      <c r="AB14" s="114">
        <v>45435</v>
      </c>
      <c r="AC14" s="7">
        <f t="shared" si="0"/>
        <v>6.14</v>
      </c>
      <c r="AD14" s="70">
        <v>3.07</v>
      </c>
      <c r="AE14" s="814"/>
    </row>
    <row r="15" spans="1:36" x14ac:dyDescent="0.3">
      <c r="A15" s="763">
        <v>1</v>
      </c>
      <c r="B15" s="762" t="s">
        <v>118</v>
      </c>
      <c r="C15" s="763" t="s">
        <v>134</v>
      </c>
      <c r="D15" s="764" t="s">
        <v>56</v>
      </c>
      <c r="E15" s="760" t="s">
        <v>116</v>
      </c>
      <c r="F15" s="754">
        <v>45089</v>
      </c>
      <c r="G15" s="754">
        <v>46184</v>
      </c>
      <c r="H15" s="763" t="s">
        <v>168</v>
      </c>
      <c r="I15" s="763" t="s">
        <v>154</v>
      </c>
      <c r="J15" s="762" t="s">
        <v>16</v>
      </c>
      <c r="K15" s="815">
        <v>81</v>
      </c>
      <c r="L15" s="763" t="s">
        <v>161</v>
      </c>
      <c r="M15" s="763" t="s">
        <v>12</v>
      </c>
      <c r="N15" s="816">
        <v>45658</v>
      </c>
      <c r="O15" s="763" t="s">
        <v>0</v>
      </c>
      <c r="P15" s="6">
        <v>45119</v>
      </c>
      <c r="Q15" s="97">
        <f>953.19/AA15</f>
        <v>1906.38</v>
      </c>
      <c r="R15" s="813">
        <v>45482</v>
      </c>
      <c r="S15" s="832"/>
      <c r="T15" s="833"/>
      <c r="U15" s="833"/>
      <c r="V15" s="834"/>
      <c r="W15" s="834"/>
      <c r="X15" s="582"/>
      <c r="Y15" s="583"/>
      <c r="Z15" s="835"/>
      <c r="AA15" s="110">
        <v>0.5</v>
      </c>
      <c r="AB15" s="114">
        <v>45266</v>
      </c>
      <c r="AC15" s="7">
        <f>AD15/AA15</f>
        <v>2112.4</v>
      </c>
      <c r="AD15" s="70">
        <v>1056.2</v>
      </c>
      <c r="AE15" s="814"/>
    </row>
    <row r="16" spans="1:36" x14ac:dyDescent="0.3">
      <c r="A16" s="763"/>
      <c r="B16" s="762"/>
      <c r="C16" s="763"/>
      <c r="D16" s="765"/>
      <c r="E16" s="761"/>
      <c r="F16" s="761"/>
      <c r="G16" s="761"/>
      <c r="H16" s="763"/>
      <c r="I16" s="763"/>
      <c r="J16" s="762"/>
      <c r="K16" s="815"/>
      <c r="L16" s="763"/>
      <c r="M16" s="763"/>
      <c r="N16" s="816"/>
      <c r="O16" s="763"/>
      <c r="P16" s="6">
        <v>45435</v>
      </c>
      <c r="Q16" s="97">
        <f>1061.25/AA16</f>
        <v>2122.5</v>
      </c>
      <c r="R16" s="813"/>
      <c r="S16" s="821"/>
      <c r="T16" s="823"/>
      <c r="U16" s="823"/>
      <c r="V16" s="825"/>
      <c r="W16" s="825"/>
      <c r="X16" s="588"/>
      <c r="Y16" s="589"/>
      <c r="Z16" s="827"/>
      <c r="AA16" s="110">
        <v>0.5</v>
      </c>
      <c r="AB16" s="114">
        <v>45435</v>
      </c>
      <c r="AC16" s="7">
        <f t="shared" si="0"/>
        <v>6.14</v>
      </c>
      <c r="AD16" s="70">
        <v>3.07</v>
      </c>
      <c r="AE16" s="814"/>
    </row>
    <row r="17" spans="1:32" x14ac:dyDescent="0.3">
      <c r="A17" s="763">
        <v>1</v>
      </c>
      <c r="B17" s="762" t="s">
        <v>118</v>
      </c>
      <c r="C17" s="763" t="s">
        <v>135</v>
      </c>
      <c r="D17" s="764" t="s">
        <v>59</v>
      </c>
      <c r="E17" s="760" t="s">
        <v>117</v>
      </c>
      <c r="F17" s="754">
        <v>45076</v>
      </c>
      <c r="G17" s="754">
        <v>46171</v>
      </c>
      <c r="H17" s="763" t="s">
        <v>168</v>
      </c>
      <c r="I17" s="763" t="s">
        <v>155</v>
      </c>
      <c r="J17" s="762" t="s">
        <v>16</v>
      </c>
      <c r="K17" s="815">
        <v>80</v>
      </c>
      <c r="L17" s="763" t="s">
        <v>161</v>
      </c>
      <c r="M17" s="763" t="s">
        <v>12</v>
      </c>
      <c r="N17" s="816">
        <v>45658</v>
      </c>
      <c r="O17" s="763" t="s">
        <v>0</v>
      </c>
      <c r="P17" s="6">
        <v>45072</v>
      </c>
      <c r="Q17" s="97">
        <f>1831.04/AA17</f>
        <v>3662.08</v>
      </c>
      <c r="R17" s="813">
        <v>45482</v>
      </c>
      <c r="S17" s="620">
        <v>45425</v>
      </c>
      <c r="T17" s="146" t="s">
        <v>29</v>
      </c>
      <c r="U17" s="146">
        <v>0</v>
      </c>
      <c r="V17" s="573">
        <v>1365.9</v>
      </c>
      <c r="W17" s="564">
        <v>676</v>
      </c>
      <c r="X17" s="580"/>
      <c r="Y17" s="691">
        <f>SUM(V17:V18)/SUM(AD17:AD18)*100</f>
        <v>80.513284163665233</v>
      </c>
      <c r="Z17" s="692">
        <v>2</v>
      </c>
      <c r="AA17" s="110">
        <v>0.5</v>
      </c>
      <c r="AB17" s="114">
        <v>45266</v>
      </c>
      <c r="AC17" s="7">
        <f>AD17/AA17</f>
        <v>4096.7</v>
      </c>
      <c r="AD17" s="70">
        <v>2048.35</v>
      </c>
      <c r="AE17" s="814"/>
      <c r="AF17" s="57"/>
    </row>
    <row r="18" spans="1:32" x14ac:dyDescent="0.3">
      <c r="A18" s="763"/>
      <c r="B18" s="762"/>
      <c r="C18" s="763"/>
      <c r="D18" s="765"/>
      <c r="E18" s="761"/>
      <c r="F18" s="761"/>
      <c r="G18" s="761"/>
      <c r="H18" s="763"/>
      <c r="I18" s="763"/>
      <c r="J18" s="762"/>
      <c r="K18" s="815"/>
      <c r="L18" s="763"/>
      <c r="M18" s="763"/>
      <c r="N18" s="816"/>
      <c r="O18" s="763"/>
      <c r="P18" s="6">
        <v>45435</v>
      </c>
      <c r="Q18" s="97">
        <f>2026.66/AA18</f>
        <v>4053.32</v>
      </c>
      <c r="R18" s="813"/>
      <c r="S18" s="634">
        <v>45432</v>
      </c>
      <c r="T18" s="15" t="s">
        <v>30</v>
      </c>
      <c r="U18" s="15">
        <v>0</v>
      </c>
      <c r="V18" s="574">
        <v>272.64999999999998</v>
      </c>
      <c r="W18" s="567">
        <v>0</v>
      </c>
      <c r="X18" s="572"/>
      <c r="Y18" s="633"/>
      <c r="Z18" s="670"/>
      <c r="AA18" s="110">
        <v>0.5</v>
      </c>
      <c r="AB18" s="114">
        <v>45435</v>
      </c>
      <c r="AC18" s="7">
        <f t="shared" si="0"/>
        <v>-26.44</v>
      </c>
      <c r="AD18" s="70">
        <v>-13.22</v>
      </c>
      <c r="AE18" s="814"/>
    </row>
    <row r="19" spans="1:32" x14ac:dyDescent="0.3">
      <c r="A19" s="763">
        <v>1</v>
      </c>
      <c r="B19" s="762" t="s">
        <v>118</v>
      </c>
      <c r="C19" s="763" t="s">
        <v>136</v>
      </c>
      <c r="D19" s="764" t="s">
        <v>53</v>
      </c>
      <c r="E19" s="760" t="s">
        <v>116</v>
      </c>
      <c r="F19" s="754">
        <v>45027</v>
      </c>
      <c r="G19" s="754">
        <v>46122</v>
      </c>
      <c r="H19" s="763" t="s">
        <v>168</v>
      </c>
      <c r="I19" s="763" t="s">
        <v>156</v>
      </c>
      <c r="J19" s="762" t="s">
        <v>16</v>
      </c>
      <c r="K19" s="815">
        <v>79</v>
      </c>
      <c r="L19" s="763" t="s">
        <v>161</v>
      </c>
      <c r="M19" s="763" t="s">
        <v>12</v>
      </c>
      <c r="N19" s="816">
        <v>45658</v>
      </c>
      <c r="O19" s="763" t="s">
        <v>0</v>
      </c>
      <c r="P19" s="48">
        <v>45027</v>
      </c>
      <c r="Q19" s="97">
        <f>1036.99/AA19</f>
        <v>2073.98</v>
      </c>
      <c r="R19" s="813">
        <v>45482</v>
      </c>
      <c r="S19" s="832"/>
      <c r="T19" s="822"/>
      <c r="U19" s="822"/>
      <c r="V19" s="824"/>
      <c r="W19" s="824"/>
      <c r="X19" s="824"/>
      <c r="Y19" s="871"/>
      <c r="Z19" s="826"/>
      <c r="AA19" s="110">
        <v>0.5</v>
      </c>
      <c r="AB19" s="114">
        <v>45266</v>
      </c>
      <c r="AC19" s="7">
        <f t="shared" si="0"/>
        <v>2298.62</v>
      </c>
      <c r="AD19" s="70">
        <v>1149.31</v>
      </c>
      <c r="AE19" s="814"/>
    </row>
    <row r="20" spans="1:32" x14ac:dyDescent="0.3">
      <c r="A20" s="763"/>
      <c r="B20" s="762"/>
      <c r="C20" s="763"/>
      <c r="D20" s="765"/>
      <c r="E20" s="761"/>
      <c r="F20" s="761"/>
      <c r="G20" s="761"/>
      <c r="H20" s="763"/>
      <c r="I20" s="763"/>
      <c r="J20" s="762"/>
      <c r="K20" s="815"/>
      <c r="L20" s="763"/>
      <c r="M20" s="763"/>
      <c r="N20" s="816"/>
      <c r="O20" s="763"/>
      <c r="P20" s="99">
        <v>45435</v>
      </c>
      <c r="Q20" s="97">
        <f>1143.3/AA20</f>
        <v>2286.6</v>
      </c>
      <c r="R20" s="813"/>
      <c r="S20" s="820"/>
      <c r="T20" s="822"/>
      <c r="U20" s="822"/>
      <c r="V20" s="824"/>
      <c r="W20" s="824"/>
      <c r="X20" s="824"/>
      <c r="Y20" s="871"/>
      <c r="Z20" s="826"/>
      <c r="AA20" s="110">
        <v>0.5</v>
      </c>
      <c r="AB20" s="114">
        <v>45435</v>
      </c>
      <c r="AC20" s="7">
        <f t="shared" si="0"/>
        <v>-7.32</v>
      </c>
      <c r="AD20" s="70">
        <v>-3.66</v>
      </c>
      <c r="AE20" s="814"/>
    </row>
    <row r="21" spans="1:32" x14ac:dyDescent="0.3">
      <c r="A21" s="763">
        <v>1</v>
      </c>
      <c r="B21" s="762" t="s">
        <v>118</v>
      </c>
      <c r="C21" s="763" t="s">
        <v>137</v>
      </c>
      <c r="D21" s="764" t="s">
        <v>54</v>
      </c>
      <c r="E21" s="760" t="s">
        <v>116</v>
      </c>
      <c r="F21" s="754">
        <v>44978</v>
      </c>
      <c r="G21" s="754">
        <v>46073</v>
      </c>
      <c r="H21" s="763" t="s">
        <v>168</v>
      </c>
      <c r="I21" s="763" t="s">
        <v>157</v>
      </c>
      <c r="J21" s="762" t="s">
        <v>16</v>
      </c>
      <c r="K21" s="815">
        <v>78</v>
      </c>
      <c r="L21" s="763" t="s">
        <v>161</v>
      </c>
      <c r="M21" s="763" t="s">
        <v>12</v>
      </c>
      <c r="N21" s="816">
        <v>45658</v>
      </c>
      <c r="O21" s="763" t="s">
        <v>0</v>
      </c>
      <c r="P21" s="6">
        <v>45239</v>
      </c>
      <c r="Q21" s="97">
        <f>869.38/AA21</f>
        <v>1738.76</v>
      </c>
      <c r="R21" s="813">
        <v>45482</v>
      </c>
      <c r="S21" s="820"/>
      <c r="T21" s="822"/>
      <c r="U21" s="822"/>
      <c r="V21" s="824"/>
      <c r="W21" s="824"/>
      <c r="X21" s="585"/>
      <c r="Y21" s="586"/>
      <c r="Z21" s="826"/>
      <c r="AA21" s="110">
        <v>0.5</v>
      </c>
      <c r="AB21" s="114">
        <v>45266</v>
      </c>
      <c r="AC21" s="7">
        <f t="shared" si="0"/>
        <v>2016.34</v>
      </c>
      <c r="AD21" s="70">
        <v>1008.17</v>
      </c>
      <c r="AE21" s="814"/>
    </row>
    <row r="22" spans="1:32" x14ac:dyDescent="0.3">
      <c r="A22" s="763"/>
      <c r="B22" s="762"/>
      <c r="C22" s="763"/>
      <c r="D22" s="765"/>
      <c r="E22" s="761"/>
      <c r="F22" s="761"/>
      <c r="G22" s="761"/>
      <c r="H22" s="763"/>
      <c r="I22" s="763"/>
      <c r="J22" s="762"/>
      <c r="K22" s="815"/>
      <c r="L22" s="763"/>
      <c r="M22" s="763"/>
      <c r="N22" s="816"/>
      <c r="O22" s="763"/>
      <c r="P22" s="6">
        <v>45435</v>
      </c>
      <c r="Q22" s="97">
        <f>1002.41/AA22</f>
        <v>2004.82</v>
      </c>
      <c r="R22" s="813"/>
      <c r="S22" s="821"/>
      <c r="T22" s="823"/>
      <c r="U22" s="822"/>
      <c r="V22" s="824"/>
      <c r="W22" s="824"/>
      <c r="X22" s="585"/>
      <c r="Y22" s="586"/>
      <c r="Z22" s="827"/>
      <c r="AA22" s="110">
        <v>0.5</v>
      </c>
      <c r="AB22" s="114">
        <v>45435</v>
      </c>
      <c r="AC22" s="7">
        <f t="shared" si="0"/>
        <v>-7.06</v>
      </c>
      <c r="AD22" s="70">
        <v>-3.53</v>
      </c>
      <c r="AE22" s="814"/>
    </row>
    <row r="23" spans="1:32" ht="28.8" x14ac:dyDescent="0.3">
      <c r="A23" s="4">
        <v>1</v>
      </c>
      <c r="B23" s="3" t="s">
        <v>118</v>
      </c>
      <c r="C23" s="4" t="s">
        <v>138</v>
      </c>
      <c r="D23" s="3" t="s">
        <v>58</v>
      </c>
      <c r="E23" s="4" t="s">
        <v>116</v>
      </c>
      <c r="F23" s="6">
        <v>44915</v>
      </c>
      <c r="G23" s="6">
        <v>46010</v>
      </c>
      <c r="H23" s="4" t="s">
        <v>168</v>
      </c>
      <c r="I23" s="4" t="s">
        <v>10</v>
      </c>
      <c r="J23" s="3" t="s">
        <v>16</v>
      </c>
      <c r="K23" s="9">
        <v>77</v>
      </c>
      <c r="L23" s="4" t="s">
        <v>161</v>
      </c>
      <c r="M23" s="4" t="s">
        <v>12</v>
      </c>
      <c r="N23" s="5">
        <v>45658</v>
      </c>
      <c r="O23" s="4" t="s">
        <v>0</v>
      </c>
      <c r="P23" s="6">
        <v>44908</v>
      </c>
      <c r="Q23" s="97">
        <f>883.91/AA23</f>
        <v>1767.82</v>
      </c>
      <c r="R23" s="104">
        <v>45482</v>
      </c>
      <c r="S23" s="162">
        <v>45541</v>
      </c>
      <c r="T23" s="150" t="s">
        <v>29</v>
      </c>
      <c r="U23" s="49">
        <v>100</v>
      </c>
      <c r="V23" s="101">
        <v>1422.25</v>
      </c>
      <c r="W23" s="101">
        <v>454</v>
      </c>
      <c r="X23" s="570"/>
      <c r="Y23" s="630">
        <f>V23/AD23*100</f>
        <v>130.63265793486048</v>
      </c>
      <c r="Z23" s="669">
        <v>1</v>
      </c>
      <c r="AA23" s="110">
        <v>0.5</v>
      </c>
      <c r="AB23" s="114">
        <v>45266</v>
      </c>
      <c r="AC23" s="7">
        <f>AD23/AA23</f>
        <v>2177.48</v>
      </c>
      <c r="AD23" s="70">
        <v>1088.74</v>
      </c>
      <c r="AE23" s="112"/>
    </row>
    <row r="24" spans="1:32" x14ac:dyDescent="0.3">
      <c r="A24" s="118">
        <v>0</v>
      </c>
      <c r="B24" s="119" t="s">
        <v>118</v>
      </c>
      <c r="C24" s="118" t="s">
        <v>170</v>
      </c>
      <c r="D24" s="119"/>
      <c r="E24" s="118"/>
      <c r="F24" s="118"/>
      <c r="G24" s="118"/>
      <c r="H24" s="118" t="s">
        <v>168</v>
      </c>
      <c r="I24" s="118" t="s">
        <v>171</v>
      </c>
      <c r="J24" s="119" t="s">
        <v>16</v>
      </c>
      <c r="K24" s="120">
        <v>76</v>
      </c>
      <c r="L24" s="118" t="s">
        <v>161</v>
      </c>
      <c r="M24" s="118" t="s">
        <v>12</v>
      </c>
      <c r="N24" s="121">
        <v>46023</v>
      </c>
      <c r="O24" s="118" t="s">
        <v>0</v>
      </c>
      <c r="P24" s="122"/>
      <c r="Q24" s="125"/>
      <c r="R24" s="126"/>
      <c r="S24" s="684"/>
      <c r="T24" s="127"/>
      <c r="U24" s="127"/>
      <c r="V24" s="565"/>
      <c r="W24" s="565"/>
      <c r="X24" s="565"/>
      <c r="Y24" s="683"/>
      <c r="Z24" s="685"/>
      <c r="AA24" s="127"/>
      <c r="AB24" s="128"/>
      <c r="AC24" s="123"/>
      <c r="AD24" s="129"/>
      <c r="AE24" s="130">
        <v>45324</v>
      </c>
    </row>
    <row r="25" spans="1:32" x14ac:dyDescent="0.3">
      <c r="A25" s="763">
        <v>1</v>
      </c>
      <c r="B25" s="762" t="s">
        <v>118</v>
      </c>
      <c r="C25" s="760" t="s">
        <v>139</v>
      </c>
      <c r="D25" s="764" t="s">
        <v>53</v>
      </c>
      <c r="E25" s="760" t="s">
        <v>116</v>
      </c>
      <c r="F25" s="754">
        <v>44878</v>
      </c>
      <c r="G25" s="768">
        <v>45973</v>
      </c>
      <c r="H25" s="763" t="s">
        <v>168</v>
      </c>
      <c r="I25" s="763" t="s">
        <v>10</v>
      </c>
      <c r="J25" s="762" t="s">
        <v>16</v>
      </c>
      <c r="K25" s="815">
        <v>75</v>
      </c>
      <c r="L25" s="763" t="s">
        <v>161</v>
      </c>
      <c r="M25" s="763" t="s">
        <v>12</v>
      </c>
      <c r="N25" s="816">
        <v>45658</v>
      </c>
      <c r="O25" s="763" t="s">
        <v>0</v>
      </c>
      <c r="P25" s="99">
        <v>44873</v>
      </c>
      <c r="Q25" s="97">
        <f>797.04/AA25</f>
        <v>1594.08</v>
      </c>
      <c r="R25" s="813">
        <v>45482</v>
      </c>
      <c r="S25" s="629">
        <v>45342</v>
      </c>
      <c r="T25" s="15" t="s">
        <v>30</v>
      </c>
      <c r="U25" s="15">
        <v>0</v>
      </c>
      <c r="V25" s="37">
        <v>236.67</v>
      </c>
      <c r="W25" s="566">
        <v>0</v>
      </c>
      <c r="X25" s="576"/>
      <c r="Y25" s="632">
        <f>SUM(V25:V26)/SUM(AD25:AD26)*100</f>
        <v>30.705683691112974</v>
      </c>
      <c r="Z25" s="671">
        <v>2</v>
      </c>
      <c r="AA25" s="110">
        <v>0.5</v>
      </c>
      <c r="AB25" s="114">
        <v>45266</v>
      </c>
      <c r="AC25" s="7">
        <f t="shared" ref="AC25:AC50" si="1">AD25/AA25</f>
        <v>1984.56</v>
      </c>
      <c r="AD25" s="70">
        <v>992.28</v>
      </c>
      <c r="AE25" s="814"/>
    </row>
    <row r="26" spans="1:32" x14ac:dyDescent="0.3">
      <c r="A26" s="763"/>
      <c r="B26" s="762"/>
      <c r="C26" s="761"/>
      <c r="D26" s="765"/>
      <c r="E26" s="761"/>
      <c r="F26" s="761"/>
      <c r="G26" s="763"/>
      <c r="H26" s="763"/>
      <c r="I26" s="763"/>
      <c r="J26" s="762"/>
      <c r="K26" s="815"/>
      <c r="L26" s="763"/>
      <c r="M26" s="763"/>
      <c r="N26" s="816"/>
      <c r="O26" s="763"/>
      <c r="P26" s="99">
        <v>45435</v>
      </c>
      <c r="Q26" s="97">
        <f>986.86/AA26</f>
        <v>1973.72</v>
      </c>
      <c r="R26" s="813"/>
      <c r="S26" s="602">
        <v>45545</v>
      </c>
      <c r="T26" s="3" t="s">
        <v>30</v>
      </c>
      <c r="U26" s="3">
        <v>0</v>
      </c>
      <c r="V26" s="29">
        <v>67</v>
      </c>
      <c r="W26" s="575">
        <v>0</v>
      </c>
      <c r="X26" s="571"/>
      <c r="Y26" s="631"/>
      <c r="Z26" s="669"/>
      <c r="AA26" s="110">
        <v>0.5</v>
      </c>
      <c r="AB26" s="114">
        <v>45435</v>
      </c>
      <c r="AC26" s="7">
        <f t="shared" si="1"/>
        <v>-6.62</v>
      </c>
      <c r="AD26" s="70">
        <v>-3.31</v>
      </c>
      <c r="AE26" s="814"/>
    </row>
    <row r="27" spans="1:32" x14ac:dyDescent="0.3">
      <c r="A27" s="763">
        <v>1</v>
      </c>
      <c r="B27" s="762" t="s">
        <v>118</v>
      </c>
      <c r="C27" s="763" t="s">
        <v>140</v>
      </c>
      <c r="D27" s="764" t="s">
        <v>53</v>
      </c>
      <c r="E27" s="760" t="s">
        <v>116</v>
      </c>
      <c r="F27" s="754">
        <v>44885</v>
      </c>
      <c r="G27" s="768">
        <v>45980</v>
      </c>
      <c r="H27" s="763" t="s">
        <v>168</v>
      </c>
      <c r="I27" s="763" t="s">
        <v>10</v>
      </c>
      <c r="J27" s="762" t="s">
        <v>16</v>
      </c>
      <c r="K27" s="815">
        <v>74</v>
      </c>
      <c r="L27" s="763" t="s">
        <v>161</v>
      </c>
      <c r="M27" s="763" t="s">
        <v>12</v>
      </c>
      <c r="N27" s="816">
        <v>45658</v>
      </c>
      <c r="O27" s="763" t="s">
        <v>0</v>
      </c>
      <c r="P27" s="99">
        <v>44873</v>
      </c>
      <c r="Q27" s="97">
        <f>797.04/AA27</f>
        <v>1594.08</v>
      </c>
      <c r="R27" s="828">
        <v>45482</v>
      </c>
      <c r="S27" s="193">
        <v>45637</v>
      </c>
      <c r="T27" s="49" t="s">
        <v>30</v>
      </c>
      <c r="U27" s="49">
        <v>0</v>
      </c>
      <c r="V27" s="101">
        <v>244.2</v>
      </c>
      <c r="W27" s="101">
        <v>0</v>
      </c>
      <c r="X27" s="570"/>
      <c r="Y27" s="680">
        <f>V27/SUM(AD27:AD28)*100</f>
        <v>24.692356694338553</v>
      </c>
      <c r="Z27" s="830">
        <v>1</v>
      </c>
      <c r="AA27" s="110">
        <v>0.5</v>
      </c>
      <c r="AB27" s="114">
        <v>45266</v>
      </c>
      <c r="AC27" s="7">
        <f t="shared" si="1"/>
        <v>1984.56</v>
      </c>
      <c r="AD27" s="70">
        <v>992.28</v>
      </c>
      <c r="AE27" s="814"/>
    </row>
    <row r="28" spans="1:32" x14ac:dyDescent="0.3">
      <c r="A28" s="763"/>
      <c r="B28" s="762"/>
      <c r="C28" s="763"/>
      <c r="D28" s="765"/>
      <c r="E28" s="761"/>
      <c r="F28" s="761"/>
      <c r="G28" s="763"/>
      <c r="H28" s="763"/>
      <c r="I28" s="763"/>
      <c r="J28" s="762"/>
      <c r="K28" s="815"/>
      <c r="L28" s="763"/>
      <c r="M28" s="763"/>
      <c r="N28" s="816"/>
      <c r="O28" s="763"/>
      <c r="P28" s="99">
        <v>45435</v>
      </c>
      <c r="Q28" s="97">
        <f>986.86/AA28</f>
        <v>1973.72</v>
      </c>
      <c r="R28" s="829"/>
      <c r="S28" s="109"/>
      <c r="T28" s="50"/>
      <c r="U28" s="50"/>
      <c r="V28" s="102"/>
      <c r="W28" s="102"/>
      <c r="X28" s="572"/>
      <c r="Y28" s="631"/>
      <c r="Z28" s="831"/>
      <c r="AA28" s="110">
        <v>0.5</v>
      </c>
      <c r="AB28" s="114">
        <v>45435</v>
      </c>
      <c r="AC28" s="7">
        <f t="shared" si="1"/>
        <v>-6.62</v>
      </c>
      <c r="AD28" s="70">
        <v>-3.31</v>
      </c>
      <c r="AE28" s="814"/>
    </row>
    <row r="29" spans="1:32" x14ac:dyDescent="0.3">
      <c r="A29" s="763">
        <v>1</v>
      </c>
      <c r="B29" s="762" t="s">
        <v>118</v>
      </c>
      <c r="C29" s="763" t="s">
        <v>141</v>
      </c>
      <c r="D29" s="764" t="s">
        <v>58</v>
      </c>
      <c r="E29" s="760" t="s">
        <v>116</v>
      </c>
      <c r="F29" s="754">
        <v>44827</v>
      </c>
      <c r="G29" s="754">
        <v>45922</v>
      </c>
      <c r="H29" s="763" t="s">
        <v>168</v>
      </c>
      <c r="I29" s="763" t="s">
        <v>10</v>
      </c>
      <c r="J29" s="762" t="s">
        <v>16</v>
      </c>
      <c r="K29" s="815">
        <v>72</v>
      </c>
      <c r="L29" s="763" t="s">
        <v>161</v>
      </c>
      <c r="M29" s="763" t="s">
        <v>12</v>
      </c>
      <c r="N29" s="816">
        <v>45658</v>
      </c>
      <c r="O29" s="763" t="s">
        <v>0</v>
      </c>
      <c r="P29" s="99">
        <v>44868</v>
      </c>
      <c r="Q29" s="97">
        <f>788.8/AA29</f>
        <v>1577.6</v>
      </c>
      <c r="R29" s="813">
        <v>45482</v>
      </c>
      <c r="S29" s="820"/>
      <c r="T29" s="822"/>
      <c r="U29" s="822"/>
      <c r="V29" s="824"/>
      <c r="W29" s="824"/>
      <c r="X29" s="585"/>
      <c r="Y29" s="586"/>
      <c r="Z29" s="826"/>
      <c r="AA29" s="110">
        <v>0.5</v>
      </c>
      <c r="AB29" s="114">
        <v>45266</v>
      </c>
      <c r="AC29" s="7">
        <f t="shared" si="1"/>
        <v>1965.38</v>
      </c>
      <c r="AD29" s="70">
        <v>982.69</v>
      </c>
      <c r="AE29" s="814"/>
    </row>
    <row r="30" spans="1:32" x14ac:dyDescent="0.3">
      <c r="A30" s="763"/>
      <c r="B30" s="762"/>
      <c r="C30" s="763"/>
      <c r="D30" s="765"/>
      <c r="E30" s="761"/>
      <c r="F30" s="761"/>
      <c r="G30" s="761"/>
      <c r="H30" s="763"/>
      <c r="I30" s="763"/>
      <c r="J30" s="762"/>
      <c r="K30" s="815"/>
      <c r="L30" s="763"/>
      <c r="M30" s="763"/>
      <c r="N30" s="816"/>
      <c r="O30" s="763"/>
      <c r="P30" s="99">
        <v>45435</v>
      </c>
      <c r="Q30" s="97">
        <f>987.2/AA30</f>
        <v>1974.4</v>
      </c>
      <c r="R30" s="813"/>
      <c r="S30" s="820"/>
      <c r="T30" s="822"/>
      <c r="U30" s="822"/>
      <c r="V30" s="824"/>
      <c r="W30" s="824"/>
      <c r="X30" s="585"/>
      <c r="Y30" s="586"/>
      <c r="Z30" s="826"/>
      <c r="AA30" s="110">
        <v>0.5</v>
      </c>
      <c r="AB30" s="114">
        <v>45435</v>
      </c>
      <c r="AC30" s="7">
        <f t="shared" si="1"/>
        <v>5.48</v>
      </c>
      <c r="AD30" s="70">
        <v>2.74</v>
      </c>
      <c r="AE30" s="814"/>
    </row>
    <row r="31" spans="1:32" ht="17.25" customHeight="1" x14ac:dyDescent="0.3">
      <c r="A31" s="763">
        <v>1</v>
      </c>
      <c r="B31" s="762" t="s">
        <v>118</v>
      </c>
      <c r="C31" s="763" t="s">
        <v>142</v>
      </c>
      <c r="D31" s="764" t="s">
        <v>58</v>
      </c>
      <c r="E31" s="760" t="s">
        <v>116</v>
      </c>
      <c r="F31" s="754">
        <v>44855</v>
      </c>
      <c r="G31" s="754">
        <v>45950</v>
      </c>
      <c r="H31" s="763" t="s">
        <v>168</v>
      </c>
      <c r="I31" s="763" t="s">
        <v>10</v>
      </c>
      <c r="J31" s="762" t="s">
        <v>16</v>
      </c>
      <c r="K31" s="815">
        <v>71</v>
      </c>
      <c r="L31" s="763" t="s">
        <v>161</v>
      </c>
      <c r="M31" s="763" t="s">
        <v>12</v>
      </c>
      <c r="N31" s="816">
        <v>45658</v>
      </c>
      <c r="O31" s="763" t="s">
        <v>0</v>
      </c>
      <c r="P31" s="99">
        <v>44840</v>
      </c>
      <c r="Q31" s="97">
        <f>771.96/AA31</f>
        <v>1543.92</v>
      </c>
      <c r="R31" s="813">
        <v>45482</v>
      </c>
      <c r="S31" s="602">
        <v>45462</v>
      </c>
      <c r="T31" s="3" t="s">
        <v>31</v>
      </c>
      <c r="U31" s="3">
        <v>100</v>
      </c>
      <c r="V31" s="557">
        <v>5297</v>
      </c>
      <c r="W31" s="567">
        <v>268</v>
      </c>
      <c r="X31" s="570"/>
      <c r="Y31" s="630">
        <f>SUM(V31:V32)/SUM(AD31:AD32)*100</f>
        <v>626.13740046449902</v>
      </c>
      <c r="Z31" s="668">
        <v>2</v>
      </c>
      <c r="AA31" s="110">
        <v>0.5</v>
      </c>
      <c r="AB31" s="114">
        <v>45266</v>
      </c>
      <c r="AC31" s="7">
        <f t="shared" si="1"/>
        <v>1923.48</v>
      </c>
      <c r="AD31" s="70">
        <v>961.74</v>
      </c>
      <c r="AE31" s="814"/>
    </row>
    <row r="32" spans="1:32" x14ac:dyDescent="0.3">
      <c r="A32" s="763"/>
      <c r="B32" s="762"/>
      <c r="C32" s="763"/>
      <c r="D32" s="765"/>
      <c r="E32" s="761"/>
      <c r="F32" s="761"/>
      <c r="G32" s="761"/>
      <c r="H32" s="763"/>
      <c r="I32" s="763"/>
      <c r="J32" s="762"/>
      <c r="K32" s="815"/>
      <c r="L32" s="763"/>
      <c r="M32" s="763"/>
      <c r="N32" s="816"/>
      <c r="O32" s="763"/>
      <c r="P32" s="99">
        <v>45435</v>
      </c>
      <c r="Q32" s="97">
        <f>966.24/AA32</f>
        <v>1932.48</v>
      </c>
      <c r="R32" s="813"/>
      <c r="S32" s="602">
        <v>45622</v>
      </c>
      <c r="T32" s="3" t="s">
        <v>30</v>
      </c>
      <c r="U32" s="3">
        <v>0</v>
      </c>
      <c r="V32" s="557">
        <v>741.97</v>
      </c>
      <c r="W32" s="567">
        <v>0</v>
      </c>
      <c r="X32" s="572"/>
      <c r="Y32" s="631"/>
      <c r="Z32" s="670"/>
      <c r="AA32" s="110">
        <v>0.5</v>
      </c>
      <c r="AB32" s="114">
        <v>45435</v>
      </c>
      <c r="AC32" s="7">
        <f t="shared" si="1"/>
        <v>5.48</v>
      </c>
      <c r="AD32" s="70">
        <v>2.74</v>
      </c>
      <c r="AE32" s="814"/>
    </row>
    <row r="33" spans="1:31" x14ac:dyDescent="0.3">
      <c r="A33" s="763">
        <v>1</v>
      </c>
      <c r="B33" s="762" t="s">
        <v>118</v>
      </c>
      <c r="C33" s="763" t="s">
        <v>143</v>
      </c>
      <c r="D33" s="764" t="s">
        <v>58</v>
      </c>
      <c r="E33" s="760" t="s">
        <v>116</v>
      </c>
      <c r="F33" s="754">
        <v>44841</v>
      </c>
      <c r="G33" s="754">
        <v>45936</v>
      </c>
      <c r="H33" s="763" t="s">
        <v>168</v>
      </c>
      <c r="I33" s="763" t="s">
        <v>158</v>
      </c>
      <c r="J33" s="762" t="s">
        <v>16</v>
      </c>
      <c r="K33" s="815">
        <v>70</v>
      </c>
      <c r="L33" s="763" t="s">
        <v>161</v>
      </c>
      <c r="M33" s="763" t="s">
        <v>12</v>
      </c>
      <c r="N33" s="816">
        <v>45658</v>
      </c>
      <c r="O33" s="763" t="s">
        <v>0</v>
      </c>
      <c r="P33" s="6">
        <v>44841</v>
      </c>
      <c r="Q33" s="97">
        <f>881.27/AA33</f>
        <v>1762.54</v>
      </c>
      <c r="R33" s="813">
        <v>45482</v>
      </c>
      <c r="S33" s="832"/>
      <c r="T33" s="833"/>
      <c r="U33" s="833"/>
      <c r="V33" s="834"/>
      <c r="W33" s="834"/>
      <c r="X33" s="582"/>
      <c r="Y33" s="583"/>
      <c r="Z33" s="835"/>
      <c r="AA33" s="110">
        <v>0.5</v>
      </c>
      <c r="AB33" s="114">
        <v>45266</v>
      </c>
      <c r="AC33" s="7">
        <f t="shared" si="1"/>
        <v>2113.08</v>
      </c>
      <c r="AD33" s="70">
        <v>1056.54</v>
      </c>
      <c r="AE33" s="814"/>
    </row>
    <row r="34" spans="1:31" x14ac:dyDescent="0.3">
      <c r="A34" s="763"/>
      <c r="B34" s="762"/>
      <c r="C34" s="763"/>
      <c r="D34" s="765"/>
      <c r="E34" s="761"/>
      <c r="F34" s="761"/>
      <c r="G34" s="761"/>
      <c r="H34" s="763"/>
      <c r="I34" s="763"/>
      <c r="J34" s="762"/>
      <c r="K34" s="815"/>
      <c r="L34" s="763"/>
      <c r="M34" s="763"/>
      <c r="N34" s="816"/>
      <c r="O34" s="763"/>
      <c r="P34" s="6">
        <v>45435</v>
      </c>
      <c r="Q34" s="97">
        <f>1051.36/AA34</f>
        <v>2102.7199999999998</v>
      </c>
      <c r="R34" s="813"/>
      <c r="S34" s="820"/>
      <c r="T34" s="822"/>
      <c r="U34" s="822"/>
      <c r="V34" s="824"/>
      <c r="W34" s="824"/>
      <c r="X34" s="585"/>
      <c r="Y34" s="586"/>
      <c r="Z34" s="826"/>
      <c r="AA34" s="110">
        <v>0.5</v>
      </c>
      <c r="AB34" s="114">
        <v>45435</v>
      </c>
      <c r="AC34" s="7">
        <f t="shared" si="1"/>
        <v>-6.3</v>
      </c>
      <c r="AD34" s="70">
        <v>-3.15</v>
      </c>
      <c r="AE34" s="814"/>
    </row>
    <row r="35" spans="1:31" ht="32.25" customHeight="1" x14ac:dyDescent="0.3">
      <c r="A35" s="4">
        <v>1</v>
      </c>
      <c r="B35" s="3" t="s">
        <v>118</v>
      </c>
      <c r="C35" s="4" t="s">
        <v>144</v>
      </c>
      <c r="D35" s="3" t="s">
        <v>58</v>
      </c>
      <c r="E35" s="4" t="s">
        <v>116</v>
      </c>
      <c r="F35" s="6">
        <v>44840</v>
      </c>
      <c r="G35" s="6">
        <v>45935</v>
      </c>
      <c r="H35" s="4" t="s">
        <v>168</v>
      </c>
      <c r="I35" s="4" t="s">
        <v>10</v>
      </c>
      <c r="J35" s="3" t="s">
        <v>16</v>
      </c>
      <c r="K35" s="9">
        <v>69</v>
      </c>
      <c r="L35" s="4" t="s">
        <v>161</v>
      </c>
      <c r="M35" s="4" t="s">
        <v>12</v>
      </c>
      <c r="N35" s="5">
        <v>45658</v>
      </c>
      <c r="O35" s="4" t="s">
        <v>0</v>
      </c>
      <c r="P35" s="6">
        <v>44839</v>
      </c>
      <c r="Q35" s="97">
        <f>795.9/AA35</f>
        <v>1591.8</v>
      </c>
      <c r="R35" s="104">
        <v>45482</v>
      </c>
      <c r="S35" s="688"/>
      <c r="T35" s="584"/>
      <c r="U35" s="584"/>
      <c r="V35" s="585"/>
      <c r="W35" s="585"/>
      <c r="X35" s="585"/>
      <c r="Y35" s="586"/>
      <c r="Z35" s="655"/>
      <c r="AA35" s="110">
        <v>0.5</v>
      </c>
      <c r="AB35" s="114">
        <v>45266</v>
      </c>
      <c r="AC35" s="7">
        <f t="shared" si="1"/>
        <v>1983.9</v>
      </c>
      <c r="AD35" s="70">
        <v>991.95</v>
      </c>
      <c r="AE35" s="112"/>
    </row>
    <row r="36" spans="1:31" ht="28.8" x14ac:dyDescent="0.3">
      <c r="A36" s="4">
        <v>1</v>
      </c>
      <c r="B36" s="3" t="s">
        <v>118</v>
      </c>
      <c r="C36" s="4" t="s">
        <v>145</v>
      </c>
      <c r="D36" s="3" t="s">
        <v>58</v>
      </c>
      <c r="E36" s="4" t="s">
        <v>116</v>
      </c>
      <c r="F36" s="6">
        <v>44840</v>
      </c>
      <c r="G36" s="6">
        <v>45935</v>
      </c>
      <c r="H36" s="4" t="s">
        <v>168</v>
      </c>
      <c r="I36" s="4" t="s">
        <v>10</v>
      </c>
      <c r="J36" s="3" t="s">
        <v>16</v>
      </c>
      <c r="K36" s="9">
        <v>68</v>
      </c>
      <c r="L36" s="4" t="s">
        <v>161</v>
      </c>
      <c r="M36" s="4" t="s">
        <v>12</v>
      </c>
      <c r="N36" s="5">
        <v>45658</v>
      </c>
      <c r="O36" s="4" t="s">
        <v>0</v>
      </c>
      <c r="P36" s="6">
        <v>44839</v>
      </c>
      <c r="Q36" s="97">
        <f>795.9/AA36</f>
        <v>1591.8</v>
      </c>
      <c r="R36" s="104">
        <v>45482</v>
      </c>
      <c r="S36" s="688"/>
      <c r="T36" s="584"/>
      <c r="U36" s="584"/>
      <c r="V36" s="585"/>
      <c r="W36" s="585"/>
      <c r="X36" s="585"/>
      <c r="Y36" s="586"/>
      <c r="Z36" s="655"/>
      <c r="AA36" s="110">
        <v>0.5</v>
      </c>
      <c r="AB36" s="114">
        <v>45266</v>
      </c>
      <c r="AC36" s="7">
        <f t="shared" si="1"/>
        <v>1983.94</v>
      </c>
      <c r="AD36" s="70">
        <v>991.97</v>
      </c>
      <c r="AE36" s="112"/>
    </row>
    <row r="37" spans="1:31" x14ac:dyDescent="0.3">
      <c r="A37" s="763">
        <v>1</v>
      </c>
      <c r="B37" s="762" t="s">
        <v>118</v>
      </c>
      <c r="C37" s="763" t="s">
        <v>146</v>
      </c>
      <c r="D37" s="764" t="s">
        <v>51</v>
      </c>
      <c r="E37" s="760" t="s">
        <v>116</v>
      </c>
      <c r="F37" s="754">
        <v>44754</v>
      </c>
      <c r="G37" s="754">
        <v>45849</v>
      </c>
      <c r="H37" s="763" t="s">
        <v>168</v>
      </c>
      <c r="I37" s="763" t="s">
        <v>159</v>
      </c>
      <c r="J37" s="762" t="s">
        <v>16</v>
      </c>
      <c r="K37" s="815">
        <v>65</v>
      </c>
      <c r="L37" s="763" t="s">
        <v>161</v>
      </c>
      <c r="M37" s="763" t="s">
        <v>12</v>
      </c>
      <c r="N37" s="816">
        <v>45658</v>
      </c>
      <c r="O37" s="763" t="s">
        <v>0</v>
      </c>
      <c r="P37" s="6">
        <v>44754</v>
      </c>
      <c r="Q37" s="97">
        <f>881.27/AA37</f>
        <v>1762.54</v>
      </c>
      <c r="R37" s="813">
        <v>45482</v>
      </c>
      <c r="S37" s="820"/>
      <c r="T37" s="822"/>
      <c r="U37" s="822"/>
      <c r="V37" s="824"/>
      <c r="W37" s="824"/>
      <c r="X37" s="585"/>
      <c r="Y37" s="586"/>
      <c r="Z37" s="826"/>
      <c r="AA37" s="110">
        <v>0.5</v>
      </c>
      <c r="AB37" s="114">
        <v>45266</v>
      </c>
      <c r="AC37" s="7">
        <f t="shared" si="1"/>
        <v>2201.2399999999998</v>
      </c>
      <c r="AD37" s="70">
        <v>1100.6199999999999</v>
      </c>
      <c r="AE37" s="814"/>
    </row>
    <row r="38" spans="1:31" x14ac:dyDescent="0.3">
      <c r="A38" s="763"/>
      <c r="B38" s="762"/>
      <c r="C38" s="763"/>
      <c r="D38" s="765"/>
      <c r="E38" s="761"/>
      <c r="F38" s="761"/>
      <c r="G38" s="761"/>
      <c r="H38" s="763"/>
      <c r="I38" s="763"/>
      <c r="J38" s="762"/>
      <c r="K38" s="815"/>
      <c r="L38" s="763"/>
      <c r="M38" s="763"/>
      <c r="N38" s="816"/>
      <c r="O38" s="763"/>
      <c r="P38" s="6">
        <v>45435</v>
      </c>
      <c r="Q38" s="97">
        <f>1094.19/AA38</f>
        <v>2188.38</v>
      </c>
      <c r="R38" s="813"/>
      <c r="S38" s="820"/>
      <c r="T38" s="822"/>
      <c r="U38" s="822"/>
      <c r="V38" s="824"/>
      <c r="W38" s="824"/>
      <c r="X38" s="585"/>
      <c r="Y38" s="586"/>
      <c r="Z38" s="826"/>
      <c r="AA38" s="110">
        <v>0.5</v>
      </c>
      <c r="AB38" s="114">
        <v>45435</v>
      </c>
      <c r="AC38" s="7">
        <f t="shared" si="1"/>
        <v>-7.8</v>
      </c>
      <c r="AD38" s="70">
        <v>-3.9</v>
      </c>
      <c r="AE38" s="814"/>
    </row>
    <row r="39" spans="1:31" x14ac:dyDescent="0.3">
      <c r="A39" s="763">
        <v>1</v>
      </c>
      <c r="B39" s="762" t="s">
        <v>118</v>
      </c>
      <c r="C39" s="763" t="s">
        <v>163</v>
      </c>
      <c r="D39" s="764" t="s">
        <v>50</v>
      </c>
      <c r="E39" s="760" t="s">
        <v>116</v>
      </c>
      <c r="F39" s="754">
        <v>44750</v>
      </c>
      <c r="G39" s="754">
        <v>45845</v>
      </c>
      <c r="H39" s="763" t="s">
        <v>168</v>
      </c>
      <c r="I39" s="763" t="s">
        <v>10</v>
      </c>
      <c r="J39" s="762" t="s">
        <v>16</v>
      </c>
      <c r="K39" s="815">
        <v>64</v>
      </c>
      <c r="L39" s="763" t="s">
        <v>161</v>
      </c>
      <c r="M39" s="763" t="s">
        <v>12</v>
      </c>
      <c r="N39" s="816">
        <v>45658</v>
      </c>
      <c r="O39" s="763" t="s">
        <v>0</v>
      </c>
      <c r="P39" s="6">
        <v>44750</v>
      </c>
      <c r="Q39" s="97">
        <f>881.27/AA39</f>
        <v>1762.54</v>
      </c>
      <c r="R39" s="813">
        <v>45482</v>
      </c>
      <c r="S39" s="820"/>
      <c r="T39" s="822"/>
      <c r="U39" s="822"/>
      <c r="V39" s="824"/>
      <c r="W39" s="824"/>
      <c r="X39" s="585"/>
      <c r="Y39" s="586"/>
      <c r="Z39" s="826"/>
      <c r="AA39" s="110">
        <v>0.5</v>
      </c>
      <c r="AB39" s="114">
        <v>45266</v>
      </c>
      <c r="AC39" s="7">
        <f t="shared" si="1"/>
        <v>2201.2399999999998</v>
      </c>
      <c r="AD39" s="70">
        <v>1100.6199999999999</v>
      </c>
      <c r="AE39" s="818"/>
    </row>
    <row r="40" spans="1:31" x14ac:dyDescent="0.3">
      <c r="A40" s="763"/>
      <c r="B40" s="762"/>
      <c r="C40" s="763"/>
      <c r="D40" s="765"/>
      <c r="E40" s="761"/>
      <c r="F40" s="761"/>
      <c r="G40" s="761"/>
      <c r="H40" s="763"/>
      <c r="I40" s="763"/>
      <c r="J40" s="762"/>
      <c r="K40" s="815"/>
      <c r="L40" s="763"/>
      <c r="M40" s="763"/>
      <c r="N40" s="816"/>
      <c r="O40" s="763"/>
      <c r="P40" s="6">
        <v>45435</v>
      </c>
      <c r="Q40" s="97">
        <f>1094.19/AA40</f>
        <v>2188.38</v>
      </c>
      <c r="R40" s="813"/>
      <c r="S40" s="821"/>
      <c r="T40" s="823"/>
      <c r="U40" s="823"/>
      <c r="V40" s="825"/>
      <c r="W40" s="825"/>
      <c r="X40" s="588"/>
      <c r="Y40" s="589"/>
      <c r="Z40" s="827"/>
      <c r="AA40" s="110">
        <v>0.5</v>
      </c>
      <c r="AB40" s="114">
        <v>45435</v>
      </c>
      <c r="AC40" s="7">
        <f t="shared" si="1"/>
        <v>-7.8</v>
      </c>
      <c r="AD40" s="70">
        <v>-3.9</v>
      </c>
      <c r="AE40" s="818"/>
    </row>
    <row r="41" spans="1:31" x14ac:dyDescent="0.3">
      <c r="A41" s="763">
        <v>1</v>
      </c>
      <c r="B41" s="762" t="s">
        <v>118</v>
      </c>
      <c r="C41" s="763" t="s">
        <v>147</v>
      </c>
      <c r="D41" s="764" t="s">
        <v>49</v>
      </c>
      <c r="E41" s="760" t="s">
        <v>116</v>
      </c>
      <c r="F41" s="754">
        <v>44760</v>
      </c>
      <c r="G41" s="754">
        <v>45855</v>
      </c>
      <c r="H41" s="763" t="s">
        <v>168</v>
      </c>
      <c r="I41" s="763" t="s">
        <v>160</v>
      </c>
      <c r="J41" s="762" t="s">
        <v>16</v>
      </c>
      <c r="K41" s="815">
        <v>63</v>
      </c>
      <c r="L41" s="763" t="s">
        <v>161</v>
      </c>
      <c r="M41" s="763" t="s">
        <v>12</v>
      </c>
      <c r="N41" s="816">
        <v>45658</v>
      </c>
      <c r="O41" s="763" t="s">
        <v>0</v>
      </c>
      <c r="P41" s="6">
        <v>44760</v>
      </c>
      <c r="Q41" s="97">
        <f>876.66/AA41</f>
        <v>1753.32</v>
      </c>
      <c r="R41" s="813">
        <v>45482</v>
      </c>
      <c r="S41" s="109">
        <v>45368</v>
      </c>
      <c r="T41" s="50" t="s">
        <v>29</v>
      </c>
      <c r="U41" s="50">
        <v>0</v>
      </c>
      <c r="V41" s="572">
        <v>1354.26</v>
      </c>
      <c r="W41" s="563">
        <v>454</v>
      </c>
      <c r="X41" s="571"/>
      <c r="Y41" s="680">
        <f>SUM(V41:V42)/SUM(AD41:AD42)*100</f>
        <v>138.437322454758</v>
      </c>
      <c r="Z41" s="669">
        <v>2</v>
      </c>
      <c r="AA41" s="110">
        <v>0.5</v>
      </c>
      <c r="AB41" s="114">
        <v>45266</v>
      </c>
      <c r="AC41" s="7">
        <f t="shared" si="1"/>
        <v>2154.7399999999998</v>
      </c>
      <c r="AD41" s="70">
        <v>1077.3699999999999</v>
      </c>
      <c r="AE41" s="819"/>
    </row>
    <row r="42" spans="1:31" x14ac:dyDescent="0.3">
      <c r="A42" s="763"/>
      <c r="B42" s="762"/>
      <c r="C42" s="763"/>
      <c r="D42" s="765"/>
      <c r="E42" s="761"/>
      <c r="F42" s="761"/>
      <c r="G42" s="761"/>
      <c r="H42" s="763"/>
      <c r="I42" s="763"/>
      <c r="J42" s="762"/>
      <c r="K42" s="815"/>
      <c r="L42" s="763"/>
      <c r="M42" s="763"/>
      <c r="N42" s="816"/>
      <c r="O42" s="763"/>
      <c r="P42" s="6">
        <v>45435</v>
      </c>
      <c r="Q42" s="97">
        <f>1071.27/AA42</f>
        <v>2142.54</v>
      </c>
      <c r="R42" s="813"/>
      <c r="S42" s="602">
        <v>45558</v>
      </c>
      <c r="T42" s="3" t="s">
        <v>29</v>
      </c>
      <c r="U42" s="3">
        <v>100</v>
      </c>
      <c r="V42" s="557">
        <v>132.1</v>
      </c>
      <c r="W42" s="567">
        <v>454</v>
      </c>
      <c r="X42" s="572"/>
      <c r="Y42" s="631"/>
      <c r="Z42" s="670"/>
      <c r="AA42" s="110">
        <v>0.5</v>
      </c>
      <c r="AB42" s="114">
        <v>45435</v>
      </c>
      <c r="AC42" s="7">
        <f t="shared" si="1"/>
        <v>-7.4</v>
      </c>
      <c r="AD42" s="70">
        <v>-3.7</v>
      </c>
      <c r="AE42" s="819"/>
    </row>
    <row r="43" spans="1:31" x14ac:dyDescent="0.3">
      <c r="A43" s="763">
        <v>1</v>
      </c>
      <c r="B43" s="762" t="s">
        <v>118</v>
      </c>
      <c r="C43" s="763" t="s">
        <v>164</v>
      </c>
      <c r="D43" s="764" t="s">
        <v>48</v>
      </c>
      <c r="E43" s="869" t="s">
        <v>117</v>
      </c>
      <c r="F43" s="760" t="s">
        <v>10</v>
      </c>
      <c r="G43" s="760" t="s">
        <v>10</v>
      </c>
      <c r="H43" s="763" t="s">
        <v>168</v>
      </c>
      <c r="I43" s="763" t="s">
        <v>10</v>
      </c>
      <c r="J43" s="762" t="s">
        <v>16</v>
      </c>
      <c r="K43" s="815">
        <v>62</v>
      </c>
      <c r="L43" s="763" t="s">
        <v>161</v>
      </c>
      <c r="M43" s="763" t="s">
        <v>12</v>
      </c>
      <c r="N43" s="816">
        <v>45658</v>
      </c>
      <c r="O43" s="763" t="s">
        <v>0</v>
      </c>
      <c r="P43" s="6">
        <v>43985</v>
      </c>
      <c r="Q43" s="97">
        <f>857.61/AA43</f>
        <v>1715.22</v>
      </c>
      <c r="R43" s="813">
        <v>45482</v>
      </c>
      <c r="S43" s="602">
        <v>45505</v>
      </c>
      <c r="T43" s="3" t="s">
        <v>30</v>
      </c>
      <c r="U43" s="3">
        <v>0</v>
      </c>
      <c r="V43" s="29">
        <v>572.05999999999995</v>
      </c>
      <c r="W43" s="557">
        <v>0</v>
      </c>
      <c r="X43" s="557"/>
      <c r="Y43" s="550">
        <f>V43/SUM(AD43:AD44)*100</f>
        <v>50.78973302673284</v>
      </c>
      <c r="Z43" s="686">
        <v>1</v>
      </c>
      <c r="AA43" s="110">
        <v>0.5</v>
      </c>
      <c r="AB43" s="114">
        <v>45266</v>
      </c>
      <c r="AC43" s="7">
        <f t="shared" si="1"/>
        <v>2245.1999999999998</v>
      </c>
      <c r="AD43" s="70">
        <v>1122.5999999999999</v>
      </c>
      <c r="AE43" s="818"/>
    </row>
    <row r="44" spans="1:31" x14ac:dyDescent="0.3">
      <c r="A44" s="763"/>
      <c r="B44" s="762"/>
      <c r="C44" s="763"/>
      <c r="D44" s="765"/>
      <c r="E44" s="870"/>
      <c r="F44" s="761"/>
      <c r="G44" s="761"/>
      <c r="H44" s="763"/>
      <c r="I44" s="763"/>
      <c r="J44" s="762"/>
      <c r="K44" s="815"/>
      <c r="L44" s="763"/>
      <c r="M44" s="763"/>
      <c r="N44" s="816"/>
      <c r="O44" s="763"/>
      <c r="P44" s="6">
        <v>45435</v>
      </c>
      <c r="Q44" s="97">
        <f>1128.65/AA44</f>
        <v>2257.3000000000002</v>
      </c>
      <c r="R44" s="813"/>
      <c r="S44" s="688"/>
      <c r="T44" s="584"/>
      <c r="U44" s="584"/>
      <c r="V44" s="585"/>
      <c r="W44" s="824"/>
      <c r="X44" s="585"/>
      <c r="Y44" s="586"/>
      <c r="Z44" s="655"/>
      <c r="AA44" s="110">
        <v>0.5</v>
      </c>
      <c r="AB44" s="114">
        <v>45435</v>
      </c>
      <c r="AC44" s="7">
        <f t="shared" si="1"/>
        <v>7.46</v>
      </c>
      <c r="AD44" s="70">
        <v>3.73</v>
      </c>
      <c r="AE44" s="818"/>
    </row>
    <row r="45" spans="1:31" ht="15" customHeight="1" x14ac:dyDescent="0.3">
      <c r="A45" s="763">
        <v>1</v>
      </c>
      <c r="B45" s="762" t="s">
        <v>118</v>
      </c>
      <c r="C45" s="763" t="s">
        <v>165</v>
      </c>
      <c r="D45" s="764" t="s">
        <v>46</v>
      </c>
      <c r="E45" s="869" t="s">
        <v>117</v>
      </c>
      <c r="F45" s="760" t="s">
        <v>10</v>
      </c>
      <c r="G45" s="760" t="s">
        <v>10</v>
      </c>
      <c r="H45" s="763" t="s">
        <v>168</v>
      </c>
      <c r="I45" s="763" t="s">
        <v>10</v>
      </c>
      <c r="J45" s="762" t="s">
        <v>16</v>
      </c>
      <c r="K45" s="815">
        <v>61</v>
      </c>
      <c r="L45" s="763" t="s">
        <v>161</v>
      </c>
      <c r="M45" s="763" t="s">
        <v>12</v>
      </c>
      <c r="N45" s="816">
        <v>45658</v>
      </c>
      <c r="O45" s="763" t="s">
        <v>0</v>
      </c>
      <c r="P45" s="6">
        <v>43979</v>
      </c>
      <c r="Q45" s="97">
        <f>748.74/AA45</f>
        <v>1497.48</v>
      </c>
      <c r="R45" s="813">
        <v>45482</v>
      </c>
      <c r="S45" s="820"/>
      <c r="T45" s="822"/>
      <c r="U45" s="822"/>
      <c r="V45" s="824"/>
      <c r="W45" s="824"/>
      <c r="X45" s="585"/>
      <c r="Y45" s="586"/>
      <c r="Z45" s="826"/>
      <c r="AA45" s="110">
        <v>0.5</v>
      </c>
      <c r="AB45" s="114">
        <v>45266</v>
      </c>
      <c r="AC45" s="7">
        <f t="shared" si="1"/>
        <v>1985.76</v>
      </c>
      <c r="AD45" s="70">
        <v>992.88</v>
      </c>
      <c r="AE45" s="818"/>
    </row>
    <row r="46" spans="1:31" x14ac:dyDescent="0.3">
      <c r="A46" s="763"/>
      <c r="B46" s="762"/>
      <c r="C46" s="763"/>
      <c r="D46" s="765"/>
      <c r="E46" s="870"/>
      <c r="F46" s="761"/>
      <c r="G46" s="761"/>
      <c r="H46" s="763"/>
      <c r="I46" s="763"/>
      <c r="J46" s="762"/>
      <c r="K46" s="815"/>
      <c r="L46" s="763"/>
      <c r="M46" s="763"/>
      <c r="N46" s="816"/>
      <c r="O46" s="763"/>
      <c r="P46" s="6">
        <v>45435</v>
      </c>
      <c r="Q46" s="97">
        <f>998.5/AA46</f>
        <v>1997</v>
      </c>
      <c r="R46" s="813"/>
      <c r="S46" s="820"/>
      <c r="T46" s="822"/>
      <c r="U46" s="822"/>
      <c r="V46" s="824"/>
      <c r="W46" s="824"/>
      <c r="X46" s="585"/>
      <c r="Y46" s="586"/>
      <c r="Z46" s="826"/>
      <c r="AA46" s="110">
        <v>0.5</v>
      </c>
      <c r="AB46" s="114">
        <v>45435</v>
      </c>
      <c r="AC46" s="7">
        <f t="shared" si="1"/>
        <v>6.84</v>
      </c>
      <c r="AD46" s="70">
        <v>3.42</v>
      </c>
      <c r="AE46" s="818"/>
    </row>
    <row r="47" spans="1:31" ht="15" customHeight="1" x14ac:dyDescent="0.3">
      <c r="A47" s="763">
        <v>1</v>
      </c>
      <c r="B47" s="762" t="s">
        <v>118</v>
      </c>
      <c r="C47" s="763" t="s">
        <v>166</v>
      </c>
      <c r="D47" s="764" t="s">
        <v>47</v>
      </c>
      <c r="E47" s="869" t="s">
        <v>117</v>
      </c>
      <c r="F47" s="760" t="s">
        <v>10</v>
      </c>
      <c r="G47" s="760" t="s">
        <v>10</v>
      </c>
      <c r="H47" s="763" t="s">
        <v>168</v>
      </c>
      <c r="I47" s="763" t="s">
        <v>10</v>
      </c>
      <c r="J47" s="762" t="s">
        <v>16</v>
      </c>
      <c r="K47" s="815">
        <v>59</v>
      </c>
      <c r="L47" s="763" t="s">
        <v>161</v>
      </c>
      <c r="M47" s="763" t="s">
        <v>12</v>
      </c>
      <c r="N47" s="816">
        <v>45658</v>
      </c>
      <c r="O47" s="763" t="s">
        <v>0</v>
      </c>
      <c r="P47" s="6">
        <v>43819</v>
      </c>
      <c r="Q47" s="97">
        <f>764.99/AA47</f>
        <v>1529.98</v>
      </c>
      <c r="R47" s="813">
        <v>45482</v>
      </c>
      <c r="S47" s="634">
        <v>45426</v>
      </c>
      <c r="T47" s="103" t="s">
        <v>30</v>
      </c>
      <c r="U47" s="103">
        <v>0</v>
      </c>
      <c r="V47" s="147">
        <v>222.46</v>
      </c>
      <c r="W47" s="147">
        <v>0</v>
      </c>
      <c r="X47" s="675"/>
      <c r="Y47" s="632">
        <f>V47/SUM(AD47:AD48)*100</f>
        <v>21.058909283679011</v>
      </c>
      <c r="Z47" s="671">
        <v>1</v>
      </c>
      <c r="AA47" s="110">
        <v>0.5</v>
      </c>
      <c r="AB47" s="114">
        <v>45266</v>
      </c>
      <c r="AC47" s="7">
        <f>AD47/AA47</f>
        <v>2114.84</v>
      </c>
      <c r="AD47" s="70">
        <v>1057.42</v>
      </c>
      <c r="AE47" s="818"/>
    </row>
    <row r="48" spans="1:31" x14ac:dyDescent="0.3">
      <c r="A48" s="763"/>
      <c r="B48" s="762"/>
      <c r="C48" s="763"/>
      <c r="D48" s="765"/>
      <c r="E48" s="870"/>
      <c r="F48" s="761"/>
      <c r="G48" s="761"/>
      <c r="H48" s="763"/>
      <c r="I48" s="763"/>
      <c r="J48" s="762"/>
      <c r="K48" s="815"/>
      <c r="L48" s="763"/>
      <c r="M48" s="763"/>
      <c r="N48" s="816"/>
      <c r="O48" s="763"/>
      <c r="P48" s="6">
        <v>45435</v>
      </c>
      <c r="Q48" s="97">
        <f>1055.57/AA48</f>
        <v>2111.14</v>
      </c>
      <c r="R48" s="813"/>
      <c r="S48" s="681"/>
      <c r="T48" s="416"/>
      <c r="U48" s="416"/>
      <c r="V48" s="674"/>
      <c r="W48" s="674"/>
      <c r="X48" s="682"/>
      <c r="Y48" s="633"/>
      <c r="Z48" s="687"/>
      <c r="AA48" s="110">
        <v>0.5</v>
      </c>
      <c r="AB48" s="116">
        <v>45435</v>
      </c>
      <c r="AC48" s="7">
        <f t="shared" si="1"/>
        <v>-2.1</v>
      </c>
      <c r="AD48" s="73">
        <v>-1.05</v>
      </c>
      <c r="AE48" s="818"/>
    </row>
    <row r="49" spans="1:32" x14ac:dyDescent="0.3">
      <c r="A49" s="763">
        <v>1</v>
      </c>
      <c r="B49" s="763" t="s">
        <v>118</v>
      </c>
      <c r="C49" s="763" t="s">
        <v>167</v>
      </c>
      <c r="D49" s="764" t="s">
        <v>60</v>
      </c>
      <c r="E49" s="869" t="s">
        <v>117</v>
      </c>
      <c r="F49" s="760" t="s">
        <v>10</v>
      </c>
      <c r="G49" s="760" t="s">
        <v>10</v>
      </c>
      <c r="H49" s="763" t="s">
        <v>168</v>
      </c>
      <c r="I49" s="763" t="s">
        <v>10</v>
      </c>
      <c r="J49" s="763" t="s">
        <v>16</v>
      </c>
      <c r="K49" s="817">
        <v>56</v>
      </c>
      <c r="L49" s="763" t="s">
        <v>161</v>
      </c>
      <c r="M49" s="763" t="s">
        <v>12</v>
      </c>
      <c r="N49" s="816">
        <v>46023</v>
      </c>
      <c r="O49" s="763"/>
      <c r="P49" s="6">
        <v>43677</v>
      </c>
      <c r="Q49" s="97">
        <f>691.1/AA49</f>
        <v>1382.2</v>
      </c>
      <c r="R49" s="813">
        <v>45482</v>
      </c>
      <c r="S49" s="832"/>
      <c r="T49" s="833"/>
      <c r="U49" s="833"/>
      <c r="V49" s="834"/>
      <c r="W49" s="834"/>
      <c r="X49" s="582"/>
      <c r="Y49" s="583"/>
      <c r="Z49" s="835"/>
      <c r="AA49" s="110">
        <v>0.5</v>
      </c>
      <c r="AB49" s="114">
        <v>45266</v>
      </c>
      <c r="AC49" s="97">
        <f t="shared" si="1"/>
        <v>1908.88</v>
      </c>
      <c r="AD49" s="70">
        <v>954.44</v>
      </c>
      <c r="AE49" s="814"/>
    </row>
    <row r="50" spans="1:32" ht="15" thickBot="1" x14ac:dyDescent="0.35">
      <c r="A50" s="763"/>
      <c r="B50" s="763"/>
      <c r="C50" s="763"/>
      <c r="D50" s="765"/>
      <c r="E50" s="870"/>
      <c r="F50" s="761"/>
      <c r="G50" s="761"/>
      <c r="H50" s="763"/>
      <c r="I50" s="763"/>
      <c r="J50" s="763"/>
      <c r="K50" s="817"/>
      <c r="L50" s="763"/>
      <c r="M50" s="763"/>
      <c r="N50" s="816"/>
      <c r="O50" s="763"/>
      <c r="P50" s="6">
        <v>45435</v>
      </c>
      <c r="Q50" s="97">
        <f>953.21/AA50</f>
        <v>1906.42</v>
      </c>
      <c r="R50" s="813"/>
      <c r="S50" s="865"/>
      <c r="T50" s="866"/>
      <c r="U50" s="866"/>
      <c r="V50" s="867"/>
      <c r="W50" s="867"/>
      <c r="X50" s="689"/>
      <c r="Y50" s="690"/>
      <c r="Z50" s="868"/>
      <c r="AA50" s="568">
        <v>0.5</v>
      </c>
      <c r="AB50" s="117">
        <v>45435</v>
      </c>
      <c r="AC50" s="135">
        <f t="shared" si="1"/>
        <v>-1.52</v>
      </c>
      <c r="AD50" s="131">
        <v>-0.76</v>
      </c>
      <c r="AE50" s="814"/>
    </row>
    <row r="51" spans="1:32" x14ac:dyDescent="0.3">
      <c r="A51" s="23">
        <f>SUM(A3:A50)</f>
        <v>25</v>
      </c>
      <c r="V51" s="26"/>
      <c r="W51" s="26"/>
      <c r="X51" s="26"/>
      <c r="Y51" s="376"/>
      <c r="Z51" s="26"/>
    </row>
    <row r="52" spans="1:32" ht="15.6" x14ac:dyDescent="0.3">
      <c r="P52" s="140">
        <v>2024</v>
      </c>
      <c r="Q52" s="188">
        <f>SUM(Q3+Q4+Q8+Q10+Q12+Q14+Q16+Q18+Q20+Q22+Q23+Q26+Q28+Q30+Q32+Q34+Q35+Q36+Q38+Q40+Q42+Q44+Q46+Q48+Q50)</f>
        <v>52627.18</v>
      </c>
      <c r="R52" s="137"/>
      <c r="S52" s="136" t="s">
        <v>33</v>
      </c>
      <c r="T52" s="137"/>
      <c r="U52" s="137"/>
      <c r="V52" s="142">
        <f>SUM(V3:V50)</f>
        <v>18933.859999999997</v>
      </c>
      <c r="W52" s="142">
        <f>SUM(W3:W50)</f>
        <v>3384</v>
      </c>
      <c r="X52" s="142">
        <f>SUM(X3:X50)</f>
        <v>0</v>
      </c>
      <c r="Z52" s="377">
        <f>SUM(Z3:Z50)</f>
        <v>16</v>
      </c>
      <c r="AA52" s="137"/>
      <c r="AB52" s="138"/>
      <c r="AC52" s="145">
        <f>SUM(AC3:AC50)</f>
        <v>53851.38</v>
      </c>
      <c r="AD52" s="145">
        <f>SUM(AD3:AD50)</f>
        <v>25784.309999999994</v>
      </c>
      <c r="AE52" s="137"/>
    </row>
    <row r="53" spans="1:32" ht="15.6" x14ac:dyDescent="0.3">
      <c r="B53" s="394" t="s">
        <v>82</v>
      </c>
      <c r="D53" s="395">
        <f>A3+A4+A7+A9+A11+A15+A17+A19+A21+A33+A37+A41</f>
        <v>12</v>
      </c>
      <c r="P53" s="140" t="s">
        <v>64</v>
      </c>
      <c r="Q53" s="188">
        <f>Q3+Q4+Q7+Q9+Q11+Q13+Q15+Q17+Q19+Q21+Q23+Q25+Q27+Q29+Q31+Q33+Q35+Q36+Q37+Q39+Q41+Q43+Q45+Q47+Q49</f>
        <v>45270.01</v>
      </c>
      <c r="R53" s="137"/>
      <c r="S53" s="141"/>
      <c r="T53" s="137"/>
      <c r="U53" s="137"/>
      <c r="V53" s="137"/>
      <c r="W53" s="378"/>
      <c r="X53" s="378"/>
      <c r="Y53" s="378"/>
      <c r="Z53" s="137"/>
      <c r="AA53" s="137"/>
      <c r="AB53" s="138"/>
      <c r="AC53" s="138"/>
      <c r="AD53" s="138"/>
      <c r="AE53" s="137"/>
    </row>
    <row r="54" spans="1:32" ht="15.6" x14ac:dyDescent="0.3">
      <c r="B54" s="394" t="s">
        <v>83</v>
      </c>
      <c r="C54"/>
      <c r="D54" s="395">
        <f>A13+A23+A25+A27+A29+A31+A35+A36+A39+A43+A45+A47+A49</f>
        <v>13</v>
      </c>
      <c r="P54" s="138"/>
      <c r="Q54" s="187"/>
      <c r="R54" s="137"/>
      <c r="S54" s="137"/>
      <c r="T54" s="137"/>
      <c r="U54" s="137"/>
      <c r="V54" s="137"/>
      <c r="W54" s="378"/>
      <c r="X54" s="378"/>
      <c r="Y54" s="378"/>
      <c r="Z54" s="137"/>
      <c r="AA54" s="137"/>
      <c r="AB54" s="138"/>
      <c r="AC54" s="138"/>
      <c r="AD54" s="138"/>
      <c r="AE54" s="137"/>
    </row>
    <row r="55" spans="1:32" ht="15.6" x14ac:dyDescent="0.3">
      <c r="D55" s="397">
        <f>SUM(D53:D54)</f>
        <v>25</v>
      </c>
      <c r="P55" s="138"/>
      <c r="Q55" s="138"/>
      <c r="R55" s="137"/>
      <c r="S55" s="139" t="s">
        <v>38</v>
      </c>
      <c r="T55" s="137"/>
      <c r="U55" s="137"/>
      <c r="V55" s="403">
        <f>SUM(V52:X52)</f>
        <v>22317.859999999997</v>
      </c>
      <c r="W55" s="379"/>
      <c r="X55" s="139" t="s">
        <v>39</v>
      </c>
      <c r="Y55" s="138"/>
      <c r="Z55" s="541">
        <f>V52</f>
        <v>18933.859999999997</v>
      </c>
      <c r="AC55" s="139" t="s">
        <v>34</v>
      </c>
      <c r="AD55" s="541">
        <f>SUM(W52:X52)+AD52</f>
        <v>29168.309999999994</v>
      </c>
      <c r="AF55" s="295"/>
    </row>
    <row r="56" spans="1:32" ht="16.2" thickBot="1" x14ac:dyDescent="0.35">
      <c r="P56" s="138"/>
      <c r="Q56" s="187"/>
      <c r="R56" s="137"/>
      <c r="S56" s="141"/>
      <c r="T56" s="137"/>
      <c r="U56" s="137"/>
      <c r="V56" s="137"/>
      <c r="W56" s="378"/>
      <c r="X56" s="378"/>
      <c r="Y56" s="378"/>
      <c r="Z56" s="137"/>
      <c r="AE56" s="137"/>
    </row>
    <row r="57" spans="1:32" ht="19.2" customHeight="1" x14ac:dyDescent="0.3">
      <c r="B57" s="45" t="s">
        <v>107</v>
      </c>
      <c r="P57" s="138"/>
      <c r="Q57" s="138"/>
      <c r="R57" s="137"/>
      <c r="S57" s="139" t="s">
        <v>112</v>
      </c>
      <c r="T57" s="137"/>
      <c r="U57" s="137"/>
      <c r="V57" s="402" t="s">
        <v>85</v>
      </c>
      <c r="W57" s="402" t="s">
        <v>84</v>
      </c>
      <c r="X57" s="402" t="s">
        <v>40</v>
      </c>
      <c r="Y57" s="402" t="s">
        <v>104</v>
      </c>
      <c r="AB57" s="66" t="s">
        <v>84</v>
      </c>
      <c r="AC57" s="189" t="s">
        <v>106</v>
      </c>
      <c r="AD57" s="190" t="s">
        <v>36</v>
      </c>
      <c r="AE57" s="191" t="s">
        <v>24</v>
      </c>
      <c r="AF57" s="192" t="s">
        <v>36</v>
      </c>
    </row>
    <row r="58" spans="1:32" ht="15.6" x14ac:dyDescent="0.3">
      <c r="B58" s="45" t="s">
        <v>109</v>
      </c>
      <c r="P58" s="138"/>
      <c r="Q58" s="138"/>
      <c r="R58" s="137"/>
      <c r="S58" s="380" t="s">
        <v>86</v>
      </c>
      <c r="T58" s="380"/>
      <c r="U58" s="380"/>
      <c r="V58" s="401">
        <f>SUM(AD3:AD12)+SUM(AD15:AD22)+SUM(AD33:AD34)+SUM(AD37:AD38)+SUM(AD41:AD42)</f>
        <v>12495.13</v>
      </c>
      <c r="W58" s="401">
        <f>SUM(V4:V8)+V11+SUM(V17:V18)+SUM(V41:V42)</f>
        <v>8629.4599999999991</v>
      </c>
      <c r="X58" s="29">
        <f>V58-W58</f>
        <v>3865.67</v>
      </c>
      <c r="Y58" s="381">
        <f>W58/V58*100</f>
        <v>69.062586783810971</v>
      </c>
      <c r="AB58" s="406" t="s">
        <v>31</v>
      </c>
      <c r="AC58" s="250">
        <v>2</v>
      </c>
      <c r="AD58" s="408">
        <f>AC58/AC61*100</f>
        <v>12.5</v>
      </c>
      <c r="AE58" s="69">
        <f>V4+W4+V31+W31</f>
        <v>10916.07</v>
      </c>
      <c r="AF58" s="412">
        <f>AE58/AE61*100</f>
        <v>48.911813229404601</v>
      </c>
    </row>
    <row r="59" spans="1:32" ht="15.6" x14ac:dyDescent="0.3">
      <c r="P59" s="138"/>
      <c r="Q59" s="138"/>
      <c r="R59" s="137"/>
      <c r="S59" s="380" t="s">
        <v>87</v>
      </c>
      <c r="T59" s="380"/>
      <c r="U59" s="380"/>
      <c r="V59" s="401">
        <f>SUM(AD13:AD14)+AD23+SUM(AD25:AD32)+SUM(AD39:AD40)+SUM(AD43:AD50)+SUM(AD35:AD36)</f>
        <v>13289.18</v>
      </c>
      <c r="W59" s="401">
        <f>V13+V23+SUM(V25:V28)+SUM(V31:V32)+V43+V47</f>
        <v>10304.4</v>
      </c>
      <c r="X59" s="29">
        <f>V59-W59</f>
        <v>2984.7800000000007</v>
      </c>
      <c r="Y59" s="381">
        <f>W59/V59*100</f>
        <v>77.539772958150905</v>
      </c>
      <c r="AB59" s="407" t="s">
        <v>29</v>
      </c>
      <c r="AC59" s="269">
        <v>5</v>
      </c>
      <c r="AD59" s="409">
        <f>AC59/AC61*100</f>
        <v>31.25</v>
      </c>
      <c r="AE59" s="69">
        <f>V13+W13+V17+W17+V23+W23+V41+W41+V42+W42</f>
        <v>8267.3000000000011</v>
      </c>
      <c r="AF59" s="412">
        <f>AE59/AE61*100</f>
        <v>37.043426206634507</v>
      </c>
    </row>
    <row r="60" spans="1:32" ht="15.6" x14ac:dyDescent="0.3">
      <c r="S60" s="380"/>
      <c r="T60" s="380"/>
      <c r="U60" s="380"/>
      <c r="V60" s="142">
        <f>SUM(V58:V59)</f>
        <v>25784.309999999998</v>
      </c>
      <c r="W60" s="142">
        <f>SUM(W58:W59)</f>
        <v>18933.86</v>
      </c>
      <c r="X60" s="142">
        <f>SUM(X58:X59)</f>
        <v>6850.4500000000007</v>
      </c>
      <c r="Y60" s="377">
        <f>W60/V60*100</f>
        <v>73.431710990133155</v>
      </c>
      <c r="AB60" s="406" t="s">
        <v>30</v>
      </c>
      <c r="AC60" s="269">
        <v>9</v>
      </c>
      <c r="AD60" s="409">
        <f>AC60/AC61*100</f>
        <v>56.25</v>
      </c>
      <c r="AE60" s="69">
        <f>V7+W7+V11+W11+V18+W18+V25+W25+V26+W26+V27+W27+V32+W32+V43+W43+V47+W47</f>
        <v>3134.4900000000002</v>
      </c>
      <c r="AF60" s="412">
        <f>AE60/AE61*100</f>
        <v>14.044760563960878</v>
      </c>
    </row>
    <row r="61" spans="1:32" ht="15" thickBot="1" x14ac:dyDescent="0.35">
      <c r="AC61" s="410">
        <f>SUM(AC58:AC60)</f>
        <v>16</v>
      </c>
      <c r="AD61" s="411">
        <f>SUM(AD58:AD60)</f>
        <v>100</v>
      </c>
      <c r="AE61" s="413">
        <f>SUM(AE58:AE60)</f>
        <v>22317.860000000004</v>
      </c>
      <c r="AF61" s="414">
        <f>SUM(AF58:AF60)</f>
        <v>99.999999999999986</v>
      </c>
    </row>
    <row r="62" spans="1:32" ht="15.6" x14ac:dyDescent="0.3">
      <c r="S62" s="139" t="s">
        <v>111</v>
      </c>
      <c r="T62" s="137"/>
      <c r="V62" s="693" t="s">
        <v>113</v>
      </c>
      <c r="W62" s="693" t="s">
        <v>114</v>
      </c>
      <c r="X62" s="693" t="s">
        <v>40</v>
      </c>
      <c r="Y62" s="693" t="s">
        <v>108</v>
      </c>
    </row>
    <row r="63" spans="1:32" ht="15.6" x14ac:dyDescent="0.3">
      <c r="S63" s="380" t="s">
        <v>86</v>
      </c>
      <c r="T63" s="380"/>
      <c r="V63" s="540">
        <f>SUM(V3:V12)+SUM(V15:V22)+SUM(V41:V42)+V33+V37</f>
        <v>8629.4599999999991</v>
      </c>
      <c r="W63" s="540">
        <f>SUM(AD3:AD12)+SUM(AD15:AD22)+SUM(AD33:AD34)+SUM(AD37:AD38)+SUM(AD41:AD42)+SUM(W3:X12)+SUM(W15:X22)+SUM(W33:X34)+SUM(W37:X38)+SUM(W41:X42)</f>
        <v>14703.13</v>
      </c>
      <c r="X63" s="7">
        <f>W63-V63</f>
        <v>6073.67</v>
      </c>
      <c r="Y63" s="694">
        <f>V63/W63*100</f>
        <v>58.691312666078574</v>
      </c>
      <c r="Z63"/>
      <c r="AA63"/>
      <c r="AB63"/>
      <c r="AC63"/>
      <c r="AD63"/>
    </row>
    <row r="64" spans="1:32" ht="15.6" x14ac:dyDescent="0.3">
      <c r="S64" s="380" t="s">
        <v>87</v>
      </c>
      <c r="T64" s="380"/>
      <c r="V64" s="540">
        <f>SUM(V13:V14)+SUM(V23)+SUM(V25:V32)+SUM(V43:V50)+SUM(V35:V36)+V39</f>
        <v>10304.400000000001</v>
      </c>
      <c r="W64" s="540">
        <f>SUM(AD13:AD14)+AD23+SUM(AD25:AD32)+SUM(AD39:AD40)+SUM(AD43:AD50)+SUM(AD35:AD36)+SUM(W13:X14)+SUM(W23:X23)+SUM(W25:X32)+SUM(W35:X36)+SUM(W39:X40)+SUM(W43:X50)</f>
        <v>14465.18</v>
      </c>
      <c r="X64" s="7">
        <f t="shared" ref="X64:X65" si="2">W64-V64</f>
        <v>4160.7799999999988</v>
      </c>
      <c r="Y64" s="694">
        <f>V64/W64*100</f>
        <v>71.235891983369726</v>
      </c>
      <c r="Z64"/>
      <c r="AA64"/>
      <c r="AB64"/>
      <c r="AC64"/>
      <c r="AD64"/>
    </row>
    <row r="65" spans="19:30" ht="15.6" x14ac:dyDescent="0.3">
      <c r="S65" s="380"/>
      <c r="T65" s="380"/>
      <c r="V65" s="145">
        <f>SUM(V63:V64)</f>
        <v>18933.86</v>
      </c>
      <c r="W65" s="145">
        <f>SUM(W63:W64)</f>
        <v>29168.309999999998</v>
      </c>
      <c r="X65" s="145">
        <f t="shared" si="2"/>
        <v>10234.449999999997</v>
      </c>
      <c r="Y65" s="695">
        <f>V65/W65*100</f>
        <v>64.912434076571472</v>
      </c>
      <c r="Z65"/>
      <c r="AA65"/>
      <c r="AB65"/>
      <c r="AC65"/>
      <c r="AD65"/>
    </row>
    <row r="66" spans="19:30" x14ac:dyDescent="0.3">
      <c r="Z66"/>
      <c r="AA66"/>
      <c r="AB66"/>
      <c r="AC66"/>
      <c r="AD66"/>
    </row>
  </sheetData>
  <mergeCells count="440">
    <mergeCell ref="W49:W50"/>
    <mergeCell ref="W44:W46"/>
    <mergeCell ref="Y19:Y20"/>
    <mergeCell ref="X19:X20"/>
    <mergeCell ref="S1:Z1"/>
    <mergeCell ref="E33:E34"/>
    <mergeCell ref="F33:F34"/>
    <mergeCell ref="G33:G34"/>
    <mergeCell ref="E11:E12"/>
    <mergeCell ref="F11:F12"/>
    <mergeCell ref="G11:G12"/>
    <mergeCell ref="E7:E8"/>
    <mergeCell ref="F7:F8"/>
    <mergeCell ref="G7:G8"/>
    <mergeCell ref="E9:E10"/>
    <mergeCell ref="F9:F10"/>
    <mergeCell ref="G9:G10"/>
    <mergeCell ref="F15:F16"/>
    <mergeCell ref="F29:F30"/>
    <mergeCell ref="F31:F32"/>
    <mergeCell ref="G29:G30"/>
    <mergeCell ref="G31:G32"/>
    <mergeCell ref="E31:E32"/>
    <mergeCell ref="E29:E30"/>
    <mergeCell ref="G13:G14"/>
    <mergeCell ref="F13:F14"/>
    <mergeCell ref="E13:E14"/>
    <mergeCell ref="E47:E48"/>
    <mergeCell ref="E49:E50"/>
    <mergeCell ref="F45:F46"/>
    <mergeCell ref="F47:F48"/>
    <mergeCell ref="F49:F50"/>
    <mergeCell ref="G47:G48"/>
    <mergeCell ref="G49:G50"/>
    <mergeCell ref="F43:F44"/>
    <mergeCell ref="G43:G44"/>
    <mergeCell ref="G45:G46"/>
    <mergeCell ref="D19:D20"/>
    <mergeCell ref="E37:E38"/>
    <mergeCell ref="E39:E40"/>
    <mergeCell ref="F37:F38"/>
    <mergeCell ref="F39:F40"/>
    <mergeCell ref="G37:G38"/>
    <mergeCell ref="G39:G40"/>
    <mergeCell ref="E41:E42"/>
    <mergeCell ref="F41:F42"/>
    <mergeCell ref="G41:G42"/>
    <mergeCell ref="E19:E20"/>
    <mergeCell ref="F19:F20"/>
    <mergeCell ref="G19:G20"/>
    <mergeCell ref="E27:E28"/>
    <mergeCell ref="F27:F28"/>
    <mergeCell ref="G25:G26"/>
    <mergeCell ref="G27:G28"/>
    <mergeCell ref="S49:S50"/>
    <mergeCell ref="T49:T50"/>
    <mergeCell ref="U49:U50"/>
    <mergeCell ref="V49:V50"/>
    <mergeCell ref="Z49:Z50"/>
    <mergeCell ref="D1:D2"/>
    <mergeCell ref="E1:E2"/>
    <mergeCell ref="F1:G1"/>
    <mergeCell ref="D33:D34"/>
    <mergeCell ref="D25:D26"/>
    <mergeCell ref="D27:D28"/>
    <mergeCell ref="D29:D30"/>
    <mergeCell ref="D31:D32"/>
    <mergeCell ref="D37:D38"/>
    <mergeCell ref="D39:D40"/>
    <mergeCell ref="D41:D42"/>
    <mergeCell ref="D43:D44"/>
    <mergeCell ref="D45:D46"/>
    <mergeCell ref="D47:D48"/>
    <mergeCell ref="D49:D50"/>
    <mergeCell ref="E43:E44"/>
    <mergeCell ref="E45:E46"/>
    <mergeCell ref="S45:S46"/>
    <mergeCell ref="T45:T46"/>
    <mergeCell ref="S21:S22"/>
    <mergeCell ref="T21:T22"/>
    <mergeCell ref="U21:U22"/>
    <mergeCell ref="V21:V22"/>
    <mergeCell ref="Z21:Z22"/>
    <mergeCell ref="S33:S34"/>
    <mergeCell ref="T33:T34"/>
    <mergeCell ref="U33:U34"/>
    <mergeCell ref="V33:V34"/>
    <mergeCell ref="Z33:Z34"/>
    <mergeCell ref="W33:W34"/>
    <mergeCell ref="U45:U46"/>
    <mergeCell ref="V45:V46"/>
    <mergeCell ref="Z45:Z46"/>
    <mergeCell ref="W19:W20"/>
    <mergeCell ref="W21:W22"/>
    <mergeCell ref="W29:W30"/>
    <mergeCell ref="T9:T10"/>
    <mergeCell ref="U9:U10"/>
    <mergeCell ref="V9:V10"/>
    <mergeCell ref="Z9:Z10"/>
    <mergeCell ref="W9:W10"/>
    <mergeCell ref="Z29:Z30"/>
    <mergeCell ref="W39:W40"/>
    <mergeCell ref="U19:U20"/>
    <mergeCell ref="V19:V20"/>
    <mergeCell ref="Z19:Z20"/>
    <mergeCell ref="T37:T38"/>
    <mergeCell ref="U37:U38"/>
    <mergeCell ref="V37:V38"/>
    <mergeCell ref="Z37:Z38"/>
    <mergeCell ref="W37:W38"/>
    <mergeCell ref="B1:B2"/>
    <mergeCell ref="C1:C2"/>
    <mergeCell ref="H1:H2"/>
    <mergeCell ref="Q1:Q2"/>
    <mergeCell ref="D4:D6"/>
    <mergeCell ref="E4:E6"/>
    <mergeCell ref="F4:F6"/>
    <mergeCell ref="G4:G6"/>
    <mergeCell ref="H4:H6"/>
    <mergeCell ref="I4:I6"/>
    <mergeCell ref="J4:J6"/>
    <mergeCell ref="J1:J2"/>
    <mergeCell ref="K1:K2"/>
    <mergeCell ref="A49:A50"/>
    <mergeCell ref="A47:A48"/>
    <mergeCell ref="A45:A46"/>
    <mergeCell ref="A43:A44"/>
    <mergeCell ref="A41:A42"/>
    <mergeCell ref="A4:A6"/>
    <mergeCell ref="A15:A16"/>
    <mergeCell ref="A13:A14"/>
    <mergeCell ref="A11:A12"/>
    <mergeCell ref="A9:A10"/>
    <mergeCell ref="A7:A8"/>
    <mergeCell ref="A27:A28"/>
    <mergeCell ref="A25:A26"/>
    <mergeCell ref="A21:A22"/>
    <mergeCell ref="A19:A20"/>
    <mergeCell ref="A17:A18"/>
    <mergeCell ref="R11:R12"/>
    <mergeCell ref="R13:R14"/>
    <mergeCell ref="R21:R22"/>
    <mergeCell ref="R25:R26"/>
    <mergeCell ref="B4:B6"/>
    <mergeCell ref="C4:C6"/>
    <mergeCell ref="A39:A40"/>
    <mergeCell ref="A37:A38"/>
    <mergeCell ref="A33:A34"/>
    <mergeCell ref="A31:A32"/>
    <mergeCell ref="A29:A30"/>
    <mergeCell ref="D17:D18"/>
    <mergeCell ref="D7:D8"/>
    <mergeCell ref="D9:D10"/>
    <mergeCell ref="D11:D12"/>
    <mergeCell ref="D13:D14"/>
    <mergeCell ref="D15:D16"/>
    <mergeCell ref="B7:B8"/>
    <mergeCell ref="C7:C8"/>
    <mergeCell ref="B27:B28"/>
    <mergeCell ref="C27:C28"/>
    <mergeCell ref="C37:C38"/>
    <mergeCell ref="B13:B14"/>
    <mergeCell ref="D21:D22"/>
    <mergeCell ref="C13:C14"/>
    <mergeCell ref="C21:C22"/>
    <mergeCell ref="B25:B26"/>
    <mergeCell ref="C25:C26"/>
    <mergeCell ref="E25:E26"/>
    <mergeCell ref="F25:F26"/>
    <mergeCell ref="O7:O8"/>
    <mergeCell ref="H7:H8"/>
    <mergeCell ref="I7:I8"/>
    <mergeCell ref="J7:J8"/>
    <mergeCell ref="O17:O18"/>
    <mergeCell ref="H13:H14"/>
    <mergeCell ref="I13:I14"/>
    <mergeCell ref="J13:J14"/>
    <mergeCell ref="K13:K14"/>
    <mergeCell ref="H21:H22"/>
    <mergeCell ref="I21:I22"/>
    <mergeCell ref="J21:J22"/>
    <mergeCell ref="O25:O26"/>
    <mergeCell ref="H25:H26"/>
    <mergeCell ref="I25:I26"/>
    <mergeCell ref="J25:J26"/>
    <mergeCell ref="L17:L18"/>
    <mergeCell ref="M17:M18"/>
    <mergeCell ref="R7:R8"/>
    <mergeCell ref="AE7:AE8"/>
    <mergeCell ref="AE4:AE6"/>
    <mergeCell ref="K4:K6"/>
    <mergeCell ref="L4:L6"/>
    <mergeCell ref="M4:M6"/>
    <mergeCell ref="N4:N6"/>
    <mergeCell ref="O4:O6"/>
    <mergeCell ref="K7:K8"/>
    <mergeCell ref="L7:L8"/>
    <mergeCell ref="M7:M8"/>
    <mergeCell ref="N7:N8"/>
    <mergeCell ref="R4:R6"/>
    <mergeCell ref="AE11:AE12"/>
    <mergeCell ref="B9:B10"/>
    <mergeCell ref="C9:C10"/>
    <mergeCell ref="H9:H10"/>
    <mergeCell ref="I9:I10"/>
    <mergeCell ref="J9:J10"/>
    <mergeCell ref="K9:K10"/>
    <mergeCell ref="L9:L10"/>
    <mergeCell ref="M9:M10"/>
    <mergeCell ref="N9:N10"/>
    <mergeCell ref="O9:O10"/>
    <mergeCell ref="R9:R10"/>
    <mergeCell ref="K11:K12"/>
    <mergeCell ref="L11:L12"/>
    <mergeCell ref="M11:M12"/>
    <mergeCell ref="N11:N12"/>
    <mergeCell ref="O11:O12"/>
    <mergeCell ref="B11:B12"/>
    <mergeCell ref="C11:C12"/>
    <mergeCell ref="H11:H12"/>
    <mergeCell ref="I11:I12"/>
    <mergeCell ref="J11:J12"/>
    <mergeCell ref="AE9:AE10"/>
    <mergeCell ref="S9:S10"/>
    <mergeCell ref="N17:N18"/>
    <mergeCell ref="AE13:AE14"/>
    <mergeCell ref="AE15:AE16"/>
    <mergeCell ref="L13:L14"/>
    <mergeCell ref="M13:M14"/>
    <mergeCell ref="N13:N14"/>
    <mergeCell ref="O13:O14"/>
    <mergeCell ref="S15:S16"/>
    <mergeCell ref="T15:T16"/>
    <mergeCell ref="U15:U16"/>
    <mergeCell ref="V15:V16"/>
    <mergeCell ref="Z15:Z16"/>
    <mergeCell ref="W15:W16"/>
    <mergeCell ref="R17:R18"/>
    <mergeCell ref="AE17:AE18"/>
    <mergeCell ref="O15:O16"/>
    <mergeCell ref="R15:R16"/>
    <mergeCell ref="B15:B16"/>
    <mergeCell ref="C15:C16"/>
    <mergeCell ref="H15:H16"/>
    <mergeCell ref="I15:I16"/>
    <mergeCell ref="J15:J16"/>
    <mergeCell ref="K15:K16"/>
    <mergeCell ref="L15:L16"/>
    <mergeCell ref="M15:M16"/>
    <mergeCell ref="N15:N16"/>
    <mergeCell ref="E15:E16"/>
    <mergeCell ref="G15:G16"/>
    <mergeCell ref="B17:B18"/>
    <mergeCell ref="C17:C18"/>
    <mergeCell ref="H17:H18"/>
    <mergeCell ref="I17:I18"/>
    <mergeCell ref="J17:J18"/>
    <mergeCell ref="K17:K18"/>
    <mergeCell ref="E17:E18"/>
    <mergeCell ref="F17:F18"/>
    <mergeCell ref="G17:G18"/>
    <mergeCell ref="AE21:AE22"/>
    <mergeCell ref="B19:B20"/>
    <mergeCell ref="C19:C20"/>
    <mergeCell ref="H19:H20"/>
    <mergeCell ref="I19:I20"/>
    <mergeCell ref="J19:J20"/>
    <mergeCell ref="K19:K20"/>
    <mergeCell ref="L19:L20"/>
    <mergeCell ref="M19:M20"/>
    <mergeCell ref="N19:N20"/>
    <mergeCell ref="O19:O20"/>
    <mergeCell ref="R19:R20"/>
    <mergeCell ref="K21:K22"/>
    <mergeCell ref="L21:L22"/>
    <mergeCell ref="M21:M22"/>
    <mergeCell ref="N21:N22"/>
    <mergeCell ref="O21:O22"/>
    <mergeCell ref="B21:B22"/>
    <mergeCell ref="AE19:AE20"/>
    <mergeCell ref="E21:E22"/>
    <mergeCell ref="F21:F22"/>
    <mergeCell ref="G21:G22"/>
    <mergeCell ref="S19:S20"/>
    <mergeCell ref="T19:T20"/>
    <mergeCell ref="AE27:AE28"/>
    <mergeCell ref="K27:K28"/>
    <mergeCell ref="L27:L28"/>
    <mergeCell ref="M27:M28"/>
    <mergeCell ref="N27:N28"/>
    <mergeCell ref="O27:O28"/>
    <mergeCell ref="H27:H28"/>
    <mergeCell ref="I27:I28"/>
    <mergeCell ref="J27:J28"/>
    <mergeCell ref="R27:R28"/>
    <mergeCell ref="Z27:Z28"/>
    <mergeCell ref="AE25:AE26"/>
    <mergeCell ref="K25:K26"/>
    <mergeCell ref="L25:L26"/>
    <mergeCell ref="M25:M26"/>
    <mergeCell ref="N25:N26"/>
    <mergeCell ref="O31:O32"/>
    <mergeCell ref="R31:R32"/>
    <mergeCell ref="AE31:AE32"/>
    <mergeCell ref="B29:B30"/>
    <mergeCell ref="C29:C30"/>
    <mergeCell ref="H29:H30"/>
    <mergeCell ref="I29:I30"/>
    <mergeCell ref="J29:J30"/>
    <mergeCell ref="K29:K30"/>
    <mergeCell ref="L29:L30"/>
    <mergeCell ref="M29:M30"/>
    <mergeCell ref="N29:N30"/>
    <mergeCell ref="O29:O30"/>
    <mergeCell ref="R29:R30"/>
    <mergeCell ref="AE29:AE30"/>
    <mergeCell ref="S29:S30"/>
    <mergeCell ref="T29:T30"/>
    <mergeCell ref="U29:U30"/>
    <mergeCell ref="V29:V30"/>
    <mergeCell ref="B31:B32"/>
    <mergeCell ref="C31:C32"/>
    <mergeCell ref="H31:H32"/>
    <mergeCell ref="I31:I32"/>
    <mergeCell ref="J31:J32"/>
    <mergeCell ref="K31:K32"/>
    <mergeCell ref="L31:L32"/>
    <mergeCell ref="M31:M32"/>
    <mergeCell ref="N31:N32"/>
    <mergeCell ref="R37:R38"/>
    <mergeCell ref="AE37:AE38"/>
    <mergeCell ref="B33:B34"/>
    <mergeCell ref="C33:C34"/>
    <mergeCell ref="H33:H34"/>
    <mergeCell ref="I33:I34"/>
    <mergeCell ref="J33:J34"/>
    <mergeCell ref="K33:K34"/>
    <mergeCell ref="L33:L34"/>
    <mergeCell ref="M33:M34"/>
    <mergeCell ref="N33:N34"/>
    <mergeCell ref="O33:O34"/>
    <mergeCell ref="R33:R34"/>
    <mergeCell ref="K37:K38"/>
    <mergeCell ref="L37:L38"/>
    <mergeCell ref="M37:M38"/>
    <mergeCell ref="N37:N38"/>
    <mergeCell ref="O37:O38"/>
    <mergeCell ref="B37:B38"/>
    <mergeCell ref="H37:H38"/>
    <mergeCell ref="I37:I38"/>
    <mergeCell ref="J37:J38"/>
    <mergeCell ref="AE33:AE34"/>
    <mergeCell ref="S37:S38"/>
    <mergeCell ref="I43:I44"/>
    <mergeCell ref="J43:J44"/>
    <mergeCell ref="AE41:AE42"/>
    <mergeCell ref="B39:B40"/>
    <mergeCell ref="C39:C40"/>
    <mergeCell ref="H39:H40"/>
    <mergeCell ref="I39:I40"/>
    <mergeCell ref="J39:J40"/>
    <mergeCell ref="K39:K40"/>
    <mergeCell ref="L39:L40"/>
    <mergeCell ref="M39:M40"/>
    <mergeCell ref="N39:N40"/>
    <mergeCell ref="O39:O40"/>
    <mergeCell ref="R39:R40"/>
    <mergeCell ref="AE39:AE40"/>
    <mergeCell ref="S39:S40"/>
    <mergeCell ref="T39:T40"/>
    <mergeCell ref="U39:U40"/>
    <mergeCell ref="V39:V40"/>
    <mergeCell ref="Z39:Z40"/>
    <mergeCell ref="O45:O46"/>
    <mergeCell ref="R45:R46"/>
    <mergeCell ref="AE45:AE46"/>
    <mergeCell ref="R43:R44"/>
    <mergeCell ref="AE43:AE44"/>
    <mergeCell ref="B41:B42"/>
    <mergeCell ref="C41:C42"/>
    <mergeCell ref="H41:H42"/>
    <mergeCell ref="I41:I42"/>
    <mergeCell ref="J41:J42"/>
    <mergeCell ref="K41:K42"/>
    <mergeCell ref="L41:L42"/>
    <mergeCell ref="M41:M42"/>
    <mergeCell ref="N41:N42"/>
    <mergeCell ref="O41:O42"/>
    <mergeCell ref="R41:R42"/>
    <mergeCell ref="K43:K44"/>
    <mergeCell ref="L43:L44"/>
    <mergeCell ref="M43:M44"/>
    <mergeCell ref="N43:N44"/>
    <mergeCell ref="O43:O44"/>
    <mergeCell ref="B43:B44"/>
    <mergeCell ref="C43:C44"/>
    <mergeCell ref="H43:H44"/>
    <mergeCell ref="B45:B46"/>
    <mergeCell ref="C45:C46"/>
    <mergeCell ref="H45:H46"/>
    <mergeCell ref="I45:I46"/>
    <mergeCell ref="J45:J46"/>
    <mergeCell ref="K45:K46"/>
    <mergeCell ref="L45:L46"/>
    <mergeCell ref="M45:M46"/>
    <mergeCell ref="N45:N46"/>
    <mergeCell ref="R49:R50"/>
    <mergeCell ref="AE49:AE50"/>
    <mergeCell ref="B47:B48"/>
    <mergeCell ref="C47:C48"/>
    <mergeCell ref="H47:H48"/>
    <mergeCell ref="I47:I48"/>
    <mergeCell ref="J47:J48"/>
    <mergeCell ref="K47:K48"/>
    <mergeCell ref="L47:L48"/>
    <mergeCell ref="M47:M48"/>
    <mergeCell ref="N47:N48"/>
    <mergeCell ref="O47:O48"/>
    <mergeCell ref="R47:R48"/>
    <mergeCell ref="K49:K50"/>
    <mergeCell ref="L49:L50"/>
    <mergeCell ref="M49:M50"/>
    <mergeCell ref="N49:N50"/>
    <mergeCell ref="O49:O50"/>
    <mergeCell ref="B49:B50"/>
    <mergeCell ref="C49:C50"/>
    <mergeCell ref="H49:H50"/>
    <mergeCell ref="I49:I50"/>
    <mergeCell ref="J49:J50"/>
    <mergeCell ref="AE47:AE48"/>
    <mergeCell ref="AB1:AD1"/>
    <mergeCell ref="AE1:AE2"/>
    <mergeCell ref="AA1:AA2"/>
    <mergeCell ref="I1:I2"/>
    <mergeCell ref="M1:M2"/>
    <mergeCell ref="N1:N2"/>
    <mergeCell ref="O1:O2"/>
    <mergeCell ref="P1:P2"/>
    <mergeCell ref="R1:R2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E6B6-2B3F-4702-A6D4-808FF484D8FB}">
  <dimension ref="A1:R108"/>
  <sheetViews>
    <sheetView topLeftCell="A12" zoomScale="90" zoomScaleNormal="90" workbookViewId="0">
      <pane xSplit="3" topLeftCell="K1" activePane="topRight" state="frozen"/>
      <selection pane="topRight" activeCell="N15" sqref="N15:O15"/>
    </sheetView>
  </sheetViews>
  <sheetFormatPr baseColWidth="10" defaultColWidth="11.44140625" defaultRowHeight="14.4" x14ac:dyDescent="0.3"/>
  <cols>
    <col min="1" max="1" width="3.44140625" style="2" bestFit="1" customWidth="1"/>
    <col min="2" max="2" width="25.44140625" style="2" customWidth="1"/>
    <col min="3" max="3" width="15.109375" style="2" bestFit="1" customWidth="1"/>
    <col min="4" max="4" width="12" style="2" bestFit="1" customWidth="1"/>
    <col min="5" max="5" width="11.6640625" style="2" bestFit="1" customWidth="1"/>
    <col min="6" max="6" width="13.5546875" style="2" bestFit="1" customWidth="1"/>
    <col min="7" max="7" width="12" style="2" customWidth="1"/>
    <col min="8" max="8" width="12.5546875" style="2" bestFit="1" customWidth="1"/>
    <col min="9" max="9" width="11.88671875" style="2" customWidth="1"/>
    <col min="10" max="10" width="12" style="2" bestFit="1" customWidth="1"/>
    <col min="11" max="11" width="11.109375" style="2" bestFit="1" customWidth="1"/>
    <col min="12" max="13" width="12" style="2" bestFit="1" customWidth="1"/>
    <col min="14" max="14" width="9.6640625" style="2" customWidth="1"/>
    <col min="15" max="15" width="11.6640625" style="2" customWidth="1"/>
    <col min="16" max="16" width="12.6640625" style="2" bestFit="1" customWidth="1"/>
    <col min="17" max="17" width="12.109375" style="2" customWidth="1"/>
    <col min="18" max="16384" width="11.44140625" style="2"/>
  </cols>
  <sheetData>
    <row r="1" spans="1:17" x14ac:dyDescent="0.3">
      <c r="D1" s="882">
        <v>2024</v>
      </c>
      <c r="E1" s="883"/>
      <c r="F1" s="884"/>
      <c r="G1" s="884"/>
      <c r="H1" s="884"/>
      <c r="I1" s="885"/>
      <c r="J1" s="882">
        <v>2025</v>
      </c>
      <c r="K1" s="883"/>
      <c r="L1" s="884"/>
      <c r="M1" s="885"/>
      <c r="N1" s="882">
        <v>2026</v>
      </c>
      <c r="O1" s="883"/>
      <c r="P1" s="884"/>
      <c r="Q1" s="885"/>
    </row>
    <row r="2" spans="1:17" ht="32.25" customHeight="1" x14ac:dyDescent="0.3">
      <c r="B2" s="65" t="s">
        <v>18</v>
      </c>
      <c r="C2" s="65" t="s">
        <v>19</v>
      </c>
      <c r="D2" s="68" t="s">
        <v>24</v>
      </c>
      <c r="E2" s="14" t="s">
        <v>110</v>
      </c>
      <c r="F2" s="167" t="s">
        <v>67</v>
      </c>
      <c r="G2" s="167" t="s">
        <v>68</v>
      </c>
      <c r="H2" s="167" t="s">
        <v>65</v>
      </c>
      <c r="I2" s="94" t="s">
        <v>66</v>
      </c>
      <c r="J2" s="200" t="s">
        <v>24</v>
      </c>
      <c r="K2" s="14" t="s">
        <v>110</v>
      </c>
      <c r="L2" s="199" t="s">
        <v>65</v>
      </c>
      <c r="M2" s="165" t="s">
        <v>66</v>
      </c>
      <c r="N2" s="68" t="s">
        <v>24</v>
      </c>
      <c r="O2" s="14" t="s">
        <v>110</v>
      </c>
      <c r="P2" s="167" t="s">
        <v>65</v>
      </c>
      <c r="Q2" s="94" t="s">
        <v>66</v>
      </c>
    </row>
    <row r="3" spans="1:17" x14ac:dyDescent="0.3">
      <c r="A3" s="4">
        <v>1</v>
      </c>
      <c r="B3" s="67" t="s">
        <v>10</v>
      </c>
      <c r="C3" s="67" t="s">
        <v>119</v>
      </c>
      <c r="D3" s="84"/>
      <c r="E3" s="195"/>
      <c r="F3" s="195"/>
      <c r="G3" s="195"/>
      <c r="H3" s="195"/>
      <c r="I3" s="85"/>
      <c r="J3" s="78"/>
      <c r="K3" s="64"/>
      <c r="L3" s="64"/>
      <c r="M3" s="298"/>
      <c r="N3" s="481"/>
      <c r="O3" s="47"/>
      <c r="P3" s="432">
        <f>'AUTO 2026'!AC3</f>
        <v>2000.46</v>
      </c>
      <c r="Q3" s="71">
        <f>'AUTO 2026'!AD3</f>
        <v>1000.23</v>
      </c>
    </row>
    <row r="4" spans="1:17" x14ac:dyDescent="0.3">
      <c r="A4" s="4">
        <v>1</v>
      </c>
      <c r="B4" s="67" t="s">
        <v>148</v>
      </c>
      <c r="C4" s="67" t="s">
        <v>120</v>
      </c>
      <c r="D4" s="84"/>
      <c r="E4" s="195"/>
      <c r="F4" s="195"/>
      <c r="G4" s="195"/>
      <c r="H4" s="195"/>
      <c r="I4" s="85"/>
      <c r="J4" s="80">
        <f>'[1]AUTO 2025'!V3</f>
        <v>194.16</v>
      </c>
      <c r="K4" s="63">
        <f>SUM('[1]AUTO 2025'!W3)</f>
        <v>0</v>
      </c>
      <c r="L4" s="430">
        <f>'AUTO 2025'!Q3</f>
        <v>1430.4</v>
      </c>
      <c r="M4" s="431">
        <f>L4*'AUTO 2025'!AA3</f>
        <v>715.2</v>
      </c>
      <c r="N4" s="69"/>
      <c r="O4" s="7"/>
      <c r="P4" s="60">
        <f>'AUTO 2026'!AC4</f>
        <v>1505.3</v>
      </c>
      <c r="Q4" s="70">
        <f>'AUTO 2026'!AD4</f>
        <v>752.65</v>
      </c>
    </row>
    <row r="5" spans="1:17" x14ac:dyDescent="0.3">
      <c r="A5" s="4">
        <v>1</v>
      </c>
      <c r="B5" s="67" t="s">
        <v>10</v>
      </c>
      <c r="C5" s="67" t="s">
        <v>121</v>
      </c>
      <c r="D5" s="84"/>
      <c r="E5" s="195"/>
      <c r="F5" s="195"/>
      <c r="G5" s="195"/>
      <c r="H5" s="195"/>
      <c r="I5" s="85"/>
      <c r="J5" s="327"/>
      <c r="K5" s="324"/>
      <c r="L5" s="429">
        <f>'AUTO 2025'!Q4</f>
        <v>1793.24</v>
      </c>
      <c r="M5" s="75">
        <f>L5*'AUTO 2025'!AA4</f>
        <v>896.62</v>
      </c>
      <c r="N5" s="69"/>
      <c r="O5" s="7"/>
      <c r="P5" s="60">
        <f>'AUTO 2026'!AC5</f>
        <v>1874.94</v>
      </c>
      <c r="Q5" s="70">
        <f>'AUTO 2026'!AD5</f>
        <v>937.47</v>
      </c>
    </row>
    <row r="6" spans="1:17" x14ac:dyDescent="0.3">
      <c r="A6" s="4">
        <v>1</v>
      </c>
      <c r="B6" s="67" t="s">
        <v>10</v>
      </c>
      <c r="C6" s="67" t="s">
        <v>122</v>
      </c>
      <c r="D6" s="84"/>
      <c r="E6" s="195"/>
      <c r="F6" s="195"/>
      <c r="G6" s="195"/>
      <c r="H6" s="195"/>
      <c r="I6" s="85"/>
      <c r="J6" s="328"/>
      <c r="K6" s="326"/>
      <c r="L6" s="429">
        <f>'AUTO 2025'!Q5</f>
        <v>1793.24</v>
      </c>
      <c r="M6" s="75">
        <f>L6*'AUTO 2025'!AA5</f>
        <v>896.62</v>
      </c>
      <c r="N6" s="69"/>
      <c r="O6" s="7"/>
      <c r="P6" s="60">
        <f>'AUTO 2026'!AC6</f>
        <v>1874.94</v>
      </c>
      <c r="Q6" s="70">
        <f>'AUTO 2026'!AD6</f>
        <v>937.47</v>
      </c>
    </row>
    <row r="7" spans="1:17" x14ac:dyDescent="0.3">
      <c r="A7" s="4">
        <v>1</v>
      </c>
      <c r="B7" s="67" t="s">
        <v>10</v>
      </c>
      <c r="C7" s="67" t="s">
        <v>123</v>
      </c>
      <c r="D7" s="84"/>
      <c r="E7" s="195"/>
      <c r="F7" s="195"/>
      <c r="G7" s="195"/>
      <c r="H7" s="195"/>
      <c r="I7" s="85"/>
      <c r="J7" s="91">
        <f>'[1]AUTO 2025'!V6</f>
        <v>235</v>
      </c>
      <c r="K7" s="54">
        <f>SUM('[1]AUTO 2025'!W6)</f>
        <v>0</v>
      </c>
      <c r="L7" s="432">
        <f>'AUTO 2025'!Q6</f>
        <v>1793.24</v>
      </c>
      <c r="M7" s="75">
        <f>L7*'AUTO 2025'!AA6</f>
        <v>896.62</v>
      </c>
      <c r="N7" s="69"/>
      <c r="O7" s="7"/>
      <c r="P7" s="60">
        <f>'AUTO 2026'!AC7</f>
        <v>1874.94</v>
      </c>
      <c r="Q7" s="70">
        <f>'AUTO 2026'!AD7</f>
        <v>937.47</v>
      </c>
    </row>
    <row r="8" spans="1:17" x14ac:dyDescent="0.3">
      <c r="A8" s="4">
        <v>1</v>
      </c>
      <c r="B8" s="67" t="s">
        <v>10</v>
      </c>
      <c r="C8" s="67" t="s">
        <v>124</v>
      </c>
      <c r="D8" s="84"/>
      <c r="E8" s="195"/>
      <c r="F8" s="195"/>
      <c r="G8" s="195"/>
      <c r="H8" s="195"/>
      <c r="I8" s="85"/>
      <c r="J8" s="76">
        <f>'[1]AUTO 2025'!V7</f>
        <v>282</v>
      </c>
      <c r="K8" s="53">
        <f>SUM('[1]AUTO 2025'!W7)</f>
        <v>0</v>
      </c>
      <c r="L8" s="432">
        <f>'AUTO 2025'!Q7</f>
        <v>1793.24</v>
      </c>
      <c r="M8" s="75">
        <f>L8*'AUTO 2025'!AA7</f>
        <v>896.62</v>
      </c>
      <c r="N8" s="69"/>
      <c r="O8" s="7"/>
      <c r="P8" s="60">
        <f>'AUTO 2026'!AC8</f>
        <v>1874.94</v>
      </c>
      <c r="Q8" s="70">
        <f>'AUTO 2026'!AD8</f>
        <v>937.47</v>
      </c>
    </row>
    <row r="9" spans="1:17" x14ac:dyDescent="0.3">
      <c r="A9" s="4">
        <v>1</v>
      </c>
      <c r="B9" s="67" t="s">
        <v>10</v>
      </c>
      <c r="C9" s="67" t="s">
        <v>125</v>
      </c>
      <c r="D9" s="84"/>
      <c r="E9" s="195"/>
      <c r="F9" s="195"/>
      <c r="G9" s="195"/>
      <c r="H9" s="195"/>
      <c r="I9" s="85"/>
      <c r="J9" s="327"/>
      <c r="K9" s="324"/>
      <c r="L9" s="429">
        <f>'AUTO 2025'!Q8</f>
        <v>1881.34</v>
      </c>
      <c r="M9" s="75">
        <f>L9*'AUTO 2025'!AA8</f>
        <v>940.67</v>
      </c>
      <c r="N9" s="69"/>
      <c r="O9" s="7"/>
      <c r="P9" s="60">
        <f>'AUTO 2026'!AC9</f>
        <v>1977.82</v>
      </c>
      <c r="Q9" s="70">
        <f>'AUTO 2026'!AD9</f>
        <v>988.91</v>
      </c>
    </row>
    <row r="10" spans="1:17" x14ac:dyDescent="0.3">
      <c r="A10" s="4">
        <v>1</v>
      </c>
      <c r="B10" s="67" t="s">
        <v>10</v>
      </c>
      <c r="C10" s="67" t="s">
        <v>126</v>
      </c>
      <c r="D10" s="84"/>
      <c r="E10" s="195"/>
      <c r="F10" s="195"/>
      <c r="G10" s="195"/>
      <c r="H10" s="195"/>
      <c r="I10" s="85"/>
      <c r="J10" s="328"/>
      <c r="K10" s="329"/>
      <c r="L10" s="47">
        <f>'AUTO 2025'!Q9</f>
        <v>1881.34</v>
      </c>
      <c r="M10" s="75">
        <f>L10*'AUTO 2025'!AA9</f>
        <v>940.67</v>
      </c>
      <c r="N10" s="69"/>
      <c r="O10" s="7"/>
      <c r="P10" s="60">
        <f>'AUTO 2026'!AC10</f>
        <v>1977.82</v>
      </c>
      <c r="Q10" s="70">
        <f>'AUTO 2026'!AD10</f>
        <v>988.91</v>
      </c>
    </row>
    <row r="11" spans="1:17" x14ac:dyDescent="0.3">
      <c r="A11" s="4">
        <v>1</v>
      </c>
      <c r="B11" s="485" t="s">
        <v>149</v>
      </c>
      <c r="C11" s="67" t="s">
        <v>127</v>
      </c>
      <c r="D11" s="84"/>
      <c r="E11" s="195"/>
      <c r="F11" s="195"/>
      <c r="G11" s="195"/>
      <c r="H11" s="195"/>
      <c r="I11" s="85"/>
      <c r="J11" s="69">
        <f>'[1]AUTO 2025'!V10</f>
        <v>4602</v>
      </c>
      <c r="K11" s="7">
        <f>SUM('[1]AUTO 2025'!W10)</f>
        <v>658</v>
      </c>
      <c r="L11" s="47">
        <f>'AUTO 2025'!Q10</f>
        <v>2251.36</v>
      </c>
      <c r="M11" s="75">
        <f>L11*'AUTO 2025'!AA10</f>
        <v>1125.68</v>
      </c>
      <c r="N11" s="69"/>
      <c r="O11" s="7"/>
      <c r="P11" s="60">
        <f>'AUTO 2026'!AC11</f>
        <v>2530.38</v>
      </c>
      <c r="Q11" s="70">
        <f>'AUTO 2026'!AD11</f>
        <v>1265.19</v>
      </c>
    </row>
    <row r="12" spans="1:17" x14ac:dyDescent="0.3">
      <c r="A12" s="4">
        <v>1</v>
      </c>
      <c r="B12" s="67" t="s">
        <v>10</v>
      </c>
      <c r="C12" s="485" t="s">
        <v>128</v>
      </c>
      <c r="D12" s="84"/>
      <c r="E12" s="195"/>
      <c r="F12" s="195"/>
      <c r="G12" s="195"/>
      <c r="H12" s="62"/>
      <c r="I12" s="89"/>
      <c r="J12" s="330"/>
      <c r="K12" s="331"/>
      <c r="L12" s="47">
        <f>'AUTO 2025'!Q11</f>
        <v>1842.2</v>
      </c>
      <c r="M12" s="75">
        <f>L12*'AUTO 2025'!AA11</f>
        <v>921.1</v>
      </c>
      <c r="N12" s="69"/>
      <c r="O12" s="7"/>
      <c r="P12" s="60">
        <f>'AUTO 2026'!AC12</f>
        <v>1927.78</v>
      </c>
      <c r="Q12" s="70">
        <f>'AUTO 2026'!AD12</f>
        <v>963.89</v>
      </c>
    </row>
    <row r="13" spans="1:17" x14ac:dyDescent="0.3">
      <c r="A13" s="4">
        <v>1</v>
      </c>
      <c r="B13" s="486" t="s">
        <v>150</v>
      </c>
      <c r="C13" s="66" t="s">
        <v>129</v>
      </c>
      <c r="D13" s="321"/>
      <c r="E13" s="322"/>
      <c r="F13" s="323"/>
      <c r="G13" s="324"/>
      <c r="H13" s="427">
        <f>'AUTO 2024'!AC3</f>
        <v>2155.9</v>
      </c>
      <c r="I13" s="428">
        <f>H13*'AUTO 2024'!AA3</f>
        <v>1077.95</v>
      </c>
      <c r="J13" s="69">
        <f>'[1]AUTO 2025'!V12</f>
        <v>0</v>
      </c>
      <c r="K13" s="7">
        <f>SUM('[1]AUTO 2025'!W12)</f>
        <v>658</v>
      </c>
      <c r="L13" s="60">
        <f>'AUTO 2025'!AC12</f>
        <v>2274.84</v>
      </c>
      <c r="M13" s="73">
        <f>'AUTO 2025'!AD12</f>
        <v>1137.42</v>
      </c>
      <c r="N13" s="69"/>
      <c r="O13" s="7"/>
      <c r="P13" s="60">
        <f>'AUTO 2026'!AC13</f>
        <v>2383.36</v>
      </c>
      <c r="Q13" s="70">
        <f>'AUTO 2026'!AD13</f>
        <v>1191.68</v>
      </c>
    </row>
    <row r="14" spans="1:17" x14ac:dyDescent="0.3">
      <c r="A14" s="4">
        <v>1</v>
      </c>
      <c r="B14" s="486" t="s">
        <v>151</v>
      </c>
      <c r="C14" s="66" t="s">
        <v>130</v>
      </c>
      <c r="D14" s="91">
        <f>SUM('[1]AUTO 2024'!V4:V6)</f>
        <v>4727.07</v>
      </c>
      <c r="E14" s="93">
        <f>SUM('[1]AUTO 2024'!W4:W6)</f>
        <v>624</v>
      </c>
      <c r="F14" s="325"/>
      <c r="G14" s="326"/>
      <c r="H14" s="429">
        <f>SUM('AUTO 2024'!AC4:AC6)</f>
        <v>2044.06</v>
      </c>
      <c r="I14" s="71">
        <f>H14*'AUTO 2024'!AA4</f>
        <v>1022.03</v>
      </c>
      <c r="J14" s="327"/>
      <c r="K14" s="332"/>
      <c r="L14" s="60">
        <f>'AUTO 2025'!AC13</f>
        <v>2159.0967741935488</v>
      </c>
      <c r="M14" s="73">
        <f>'AUTO 2025'!AD13</f>
        <v>1338.64</v>
      </c>
      <c r="N14" s="69"/>
      <c r="O14" s="7"/>
      <c r="P14" s="60">
        <f>'AUTO 2026'!AC14</f>
        <v>2375.6379310344828</v>
      </c>
      <c r="Q14" s="70">
        <f>'AUTO 2026'!AD14</f>
        <v>1377.87</v>
      </c>
    </row>
    <row r="15" spans="1:17" x14ac:dyDescent="0.3">
      <c r="A15" s="4">
        <v>1</v>
      </c>
      <c r="B15" s="486" t="s">
        <v>152</v>
      </c>
      <c r="C15" s="66" t="s">
        <v>131</v>
      </c>
      <c r="D15" s="76">
        <f>SUM('[1]AUTO 2024'!V7:V8)</f>
        <v>164.23</v>
      </c>
      <c r="E15" s="53">
        <f>SUM('[1]AUTO 2024'!W7:W8)</f>
        <v>0</v>
      </c>
      <c r="F15" s="93">
        <f>'AUTO 2024'!Q7</f>
        <v>1738.76</v>
      </c>
      <c r="G15" s="93">
        <f>'AUTO 2024'!Q8</f>
        <v>1918.46</v>
      </c>
      <c r="H15" s="60">
        <f>SUM('AUTO 2024'!AC7:AC8)</f>
        <v>1925.76</v>
      </c>
      <c r="I15" s="70">
        <f>SUM('AUTO 2024'!AD7:AD8)</f>
        <v>962.88</v>
      </c>
      <c r="J15" s="330"/>
      <c r="K15" s="331"/>
      <c r="L15" s="60">
        <f>'AUTO 2025'!AC14</f>
        <v>2038.46</v>
      </c>
      <c r="M15" s="73">
        <f>'AUTO 2025'!AD14</f>
        <v>1019.23</v>
      </c>
      <c r="N15" s="76">
        <f>'[1]AUTO 2026'!V15</f>
        <v>0</v>
      </c>
      <c r="O15" s="53">
        <f>SUM('[1]AUTO 2026'!W15)</f>
        <v>0</v>
      </c>
      <c r="P15" s="95">
        <f>'AUTO 2026'!AC15</f>
        <v>2144.58</v>
      </c>
      <c r="Q15" s="77">
        <f>'AUTO 2026'!AD15</f>
        <v>1072.29</v>
      </c>
    </row>
    <row r="16" spans="1:17" x14ac:dyDescent="0.3">
      <c r="A16" s="4">
        <v>1</v>
      </c>
      <c r="B16" s="67" t="s">
        <v>169</v>
      </c>
      <c r="C16" s="67" t="s">
        <v>162</v>
      </c>
      <c r="D16" s="338"/>
      <c r="E16" s="339"/>
      <c r="F16" s="203">
        <f>'AUTO 2024'!Q9</f>
        <v>1711.25</v>
      </c>
      <c r="G16" s="182">
        <f>'AUTO 2024'!Q10</f>
        <v>2097.2600000000002</v>
      </c>
      <c r="H16" s="182">
        <f>SUM('AUTO 2024'!AC9:AC10)</f>
        <v>2092.3200000000002</v>
      </c>
      <c r="I16" s="73">
        <f>SUM('AUTO 2024'!AD9:AD10)</f>
        <v>1046.1600000000001</v>
      </c>
      <c r="J16" s="330"/>
      <c r="K16" s="333"/>
      <c r="L16" s="438">
        <f>'AUTO 2025'!AC15</f>
        <v>2215.2600000000002</v>
      </c>
      <c r="M16" s="222">
        <f>'AUTO 2025'!AD15</f>
        <v>1107.6300000000001</v>
      </c>
      <c r="N16" s="78"/>
      <c r="O16" s="64"/>
      <c r="P16" s="243"/>
      <c r="Q16" s="267"/>
    </row>
    <row r="17" spans="1:17" x14ac:dyDescent="0.3">
      <c r="A17" s="4">
        <v>1</v>
      </c>
      <c r="B17" s="66" t="s">
        <v>153</v>
      </c>
      <c r="C17" s="66" t="s">
        <v>132</v>
      </c>
      <c r="D17" s="91">
        <f>SUM('[1]AUTO 2024'!V11:V12)</f>
        <v>613.25</v>
      </c>
      <c r="E17" s="54">
        <f>SUM('[1]AUTO 2024'!W11:W12)</f>
        <v>0</v>
      </c>
      <c r="F17" s="60">
        <f>'AUTO 2024'!Q11</f>
        <v>1905.54</v>
      </c>
      <c r="G17" s="60">
        <f>'AUTO 2024'!Q12</f>
        <v>2122.14</v>
      </c>
      <c r="H17" s="60">
        <f>SUM('AUTO 2024'!AC11:AC12)</f>
        <v>2118.04</v>
      </c>
      <c r="I17" s="70">
        <f>SUM('AUTO 2024'!AD11:AD12)</f>
        <v>1059.02</v>
      </c>
      <c r="J17" s="330"/>
      <c r="K17" s="333"/>
      <c r="L17" s="60">
        <f>'AUTO 2025'!AC17</f>
        <v>2239.66</v>
      </c>
      <c r="M17" s="70">
        <f>'AUTO 2025'!AD17</f>
        <v>1119.83</v>
      </c>
      <c r="N17" s="91"/>
      <c r="O17" s="54"/>
      <c r="P17" s="93">
        <f>'AUTO 2026'!AC16</f>
        <v>2331.16</v>
      </c>
      <c r="Q17" s="92">
        <f>'AUTO 2026'!AD16</f>
        <v>1165.58</v>
      </c>
    </row>
    <row r="18" spans="1:17" x14ac:dyDescent="0.3">
      <c r="A18" s="4">
        <v>1</v>
      </c>
      <c r="B18" s="66" t="s">
        <v>10</v>
      </c>
      <c r="C18" s="66" t="s">
        <v>133</v>
      </c>
      <c r="D18" s="76">
        <f>SUM('[1]AUTO 2024'!V13:V14)</f>
        <v>1500.79</v>
      </c>
      <c r="E18" s="53">
        <f>SUM('[1]AUTO 2024'!W13:W14)</f>
        <v>454</v>
      </c>
      <c r="F18" s="60">
        <f>'AUTO 2024'!Q13</f>
        <v>1906.38</v>
      </c>
      <c r="G18" s="60">
        <f>'AUTO 2024'!Q14</f>
        <v>2122.5</v>
      </c>
      <c r="H18" s="60">
        <f>SUM('AUTO 2024'!AC13:AC14)</f>
        <v>2118.54</v>
      </c>
      <c r="I18" s="70">
        <f>SUM('AUTO 2024'!AD13:AD14)</f>
        <v>1059.27</v>
      </c>
      <c r="J18" s="330"/>
      <c r="K18" s="333"/>
      <c r="L18" s="60">
        <f>'AUTO 2025'!AC18</f>
        <v>2336.98</v>
      </c>
      <c r="M18" s="70">
        <f>'AUTO 2025'!AD18</f>
        <v>1168.49</v>
      </c>
      <c r="N18" s="69"/>
      <c r="O18" s="7"/>
      <c r="P18" s="60">
        <f>'AUTO 2026'!AC17</f>
        <v>2432.2800000000002</v>
      </c>
      <c r="Q18" s="70">
        <f>'AUTO 2026'!AD17</f>
        <v>1216.1400000000001</v>
      </c>
    </row>
    <row r="19" spans="1:17" x14ac:dyDescent="0.3">
      <c r="A19" s="4">
        <v>1</v>
      </c>
      <c r="B19" s="486" t="s">
        <v>154</v>
      </c>
      <c r="C19" s="66" t="s">
        <v>134</v>
      </c>
      <c r="D19" s="321"/>
      <c r="E19" s="334"/>
      <c r="F19" s="194">
        <f>'AUTO 2024'!Q15</f>
        <v>1906.38</v>
      </c>
      <c r="G19" s="60">
        <f>'AUTO 2024'!Q16</f>
        <v>2122.5</v>
      </c>
      <c r="H19" s="60">
        <f>SUM('AUTO 2024'!AC15:AC16)</f>
        <v>2118.54</v>
      </c>
      <c r="I19" s="70">
        <f>SUM('AUTO 2024'!AD15:AD16)</f>
        <v>1059.27</v>
      </c>
      <c r="J19" s="330"/>
      <c r="K19" s="333"/>
      <c r="L19" s="60">
        <f>'AUTO 2025'!AC19</f>
        <v>2240.04</v>
      </c>
      <c r="M19" s="70">
        <f>'AUTO 2025'!AD19</f>
        <v>1120.02</v>
      </c>
      <c r="N19" s="69"/>
      <c r="O19" s="7"/>
      <c r="P19" s="60">
        <f>'AUTO 2026'!AC18</f>
        <v>2331.9</v>
      </c>
      <c r="Q19" s="70">
        <f>'AUTO 2026'!AD18</f>
        <v>1165.95</v>
      </c>
    </row>
    <row r="20" spans="1:17" x14ac:dyDescent="0.3">
      <c r="A20" s="4">
        <v>1</v>
      </c>
      <c r="B20" s="486" t="s">
        <v>155</v>
      </c>
      <c r="C20" s="66" t="s">
        <v>135</v>
      </c>
      <c r="D20" s="204">
        <f>SUM('[1]AUTO 2024'!V17:V18)</f>
        <v>1638.5500000000002</v>
      </c>
      <c r="E20" s="426">
        <f>SUM('[1]AUTO 2024'!W17:W18)</f>
        <v>676</v>
      </c>
      <c r="F20" s="60">
        <f>'AUTO 2024'!Q17</f>
        <v>3662.08</v>
      </c>
      <c r="G20" s="60">
        <f>'AUTO 2024'!Q18</f>
        <v>4053.32</v>
      </c>
      <c r="H20" s="60">
        <f>SUM('AUTO 2024'!AC17:AC18)</f>
        <v>4070.2599999999998</v>
      </c>
      <c r="I20" s="70">
        <f>SUM('AUTO 2024'!AD17:AD18)</f>
        <v>2035.1299999999999</v>
      </c>
      <c r="J20" s="328"/>
      <c r="K20" s="326"/>
      <c r="L20" s="60">
        <f>'AUTO 2025'!AC20</f>
        <v>4577.28</v>
      </c>
      <c r="M20" s="70">
        <f>'AUTO 2025'!AD20</f>
        <v>2288.64</v>
      </c>
      <c r="N20" s="69"/>
      <c r="O20" s="7"/>
      <c r="P20" s="60">
        <f>'AUTO 2026'!AC19</f>
        <v>4770.76</v>
      </c>
      <c r="Q20" s="70">
        <f>'AUTO 2026'!AD19</f>
        <v>2385.38</v>
      </c>
    </row>
    <row r="21" spans="1:17" x14ac:dyDescent="0.3">
      <c r="A21" s="4">
        <v>1</v>
      </c>
      <c r="B21" s="486" t="s">
        <v>156</v>
      </c>
      <c r="C21" s="66" t="s">
        <v>136</v>
      </c>
      <c r="D21" s="327"/>
      <c r="E21" s="324"/>
      <c r="F21" s="194">
        <f>'AUTO 2024'!Q19</f>
        <v>2073.98</v>
      </c>
      <c r="G21" s="60">
        <f>'AUTO 2024'!Q20</f>
        <v>2286.6</v>
      </c>
      <c r="H21" s="60">
        <f>SUM('AUTO 2024'!AC19:AC20)</f>
        <v>2291.2999999999997</v>
      </c>
      <c r="I21" s="70">
        <f>SUM('AUTO 2024'!AD19:AD20)</f>
        <v>1145.6499999999999</v>
      </c>
      <c r="J21" s="80">
        <f>'[1]AUTO 2025'!V21</f>
        <v>2194</v>
      </c>
      <c r="K21" s="63">
        <f>SUM('[1]AUTO 2025'!W21)</f>
        <v>479</v>
      </c>
      <c r="L21" s="60">
        <f>'AUTO 2025'!AC21</f>
        <v>2413.2600000000002</v>
      </c>
      <c r="M21" s="70">
        <f>'AUTO 2025'!AD21</f>
        <v>1206.6300000000001</v>
      </c>
      <c r="N21" s="69"/>
      <c r="O21" s="7"/>
      <c r="P21" s="60">
        <f>'AUTO 2026'!AC20</f>
        <v>2510.92</v>
      </c>
      <c r="Q21" s="70">
        <f>'AUTO 2026'!AD20</f>
        <v>1255.46</v>
      </c>
    </row>
    <row r="22" spans="1:17" x14ac:dyDescent="0.3">
      <c r="A22" s="4">
        <v>1</v>
      </c>
      <c r="B22" s="486" t="s">
        <v>157</v>
      </c>
      <c r="C22" s="66" t="s">
        <v>137</v>
      </c>
      <c r="D22" s="328"/>
      <c r="E22" s="326"/>
      <c r="F22" s="194">
        <f>'AUTO 2024'!Q21</f>
        <v>1738.76</v>
      </c>
      <c r="G22" s="60">
        <f>'AUTO 2024'!Q22</f>
        <v>2004.82</v>
      </c>
      <c r="H22" s="60">
        <f>SUM('AUTO 2024'!AC21:AC22)</f>
        <v>2009.28</v>
      </c>
      <c r="I22" s="70">
        <f>SUM('AUTO 2024'!AD21:AD22)</f>
        <v>1004.64</v>
      </c>
      <c r="J22" s="321"/>
      <c r="K22" s="334"/>
      <c r="L22" s="60">
        <f>'AUTO 2025'!AC22</f>
        <v>2117.12</v>
      </c>
      <c r="M22" s="70">
        <f>'AUTO 2025'!AD22</f>
        <v>1058.56</v>
      </c>
      <c r="N22" s="69"/>
      <c r="O22" s="7"/>
      <c r="P22" s="60">
        <f>'AUTO 2026'!AC21</f>
        <v>2214.7600000000002</v>
      </c>
      <c r="Q22" s="70">
        <f>'AUTO 2026'!AD21</f>
        <v>1107.3800000000001</v>
      </c>
    </row>
    <row r="23" spans="1:17" x14ac:dyDescent="0.3">
      <c r="A23" s="4">
        <v>1</v>
      </c>
      <c r="B23" s="66" t="s">
        <v>10</v>
      </c>
      <c r="C23" s="66" t="s">
        <v>138</v>
      </c>
      <c r="D23" s="91">
        <f>SUM('[1]AUTO 2024'!V23)</f>
        <v>1422.25</v>
      </c>
      <c r="E23" s="54">
        <f>SUM('[1]AUTO 2024'!W23)</f>
        <v>454</v>
      </c>
      <c r="F23" s="60">
        <f>'AUTO 2024'!Q23</f>
        <v>1767.82</v>
      </c>
      <c r="G23" s="337"/>
      <c r="H23" s="60">
        <f>SUM('AUTO 2024'!AC23)</f>
        <v>2177.48</v>
      </c>
      <c r="I23" s="70">
        <f>SUM('AUTO 2024'!AD23)</f>
        <v>1088.74</v>
      </c>
      <c r="J23" s="80">
        <f>'[1]AUTO 2025'!V23</f>
        <v>219</v>
      </c>
      <c r="K23" s="63">
        <f>SUM('[1]AUTO 2025'!W23)</f>
        <v>0</v>
      </c>
      <c r="L23" s="60">
        <f>'AUTO 2025'!AC23</f>
        <v>2543.34</v>
      </c>
      <c r="M23" s="70">
        <f>'AUTO 2025'!AD23</f>
        <v>1271.67</v>
      </c>
      <c r="N23" s="69"/>
      <c r="O23" s="7"/>
      <c r="P23" s="60">
        <f>'AUTO 2026'!AC22</f>
        <v>2672.02</v>
      </c>
      <c r="Q23" s="73">
        <f>'AUTO 2026'!AD22</f>
        <v>1336.01</v>
      </c>
    </row>
    <row r="24" spans="1:17" x14ac:dyDescent="0.3">
      <c r="A24" s="4">
        <v>1</v>
      </c>
      <c r="B24" s="66" t="s">
        <v>10</v>
      </c>
      <c r="C24" s="66" t="s">
        <v>139</v>
      </c>
      <c r="D24" s="72">
        <f>SUM('[1]AUTO 2024'!V25:V26)</f>
        <v>303.66999999999996</v>
      </c>
      <c r="E24" s="13">
        <f>SUM('[1]AUTO 2024'!W25:W26)</f>
        <v>0</v>
      </c>
      <c r="F24" s="182">
        <f>'AUTO 2024'!Q25</f>
        <v>1594.08</v>
      </c>
      <c r="G24" s="182">
        <f>'AUTO 2024'!Q26</f>
        <v>1973.72</v>
      </c>
      <c r="H24" s="182">
        <f>SUM('AUTO 2024'!AC25:AC26)</f>
        <v>1977.94</v>
      </c>
      <c r="I24" s="70">
        <f>SUM('AUTO 2024'!AD25:AD26)</f>
        <v>988.97</v>
      </c>
      <c r="J24" s="327"/>
      <c r="K24" s="324"/>
      <c r="L24" s="60">
        <f>'AUTO 2025'!AC24</f>
        <v>2083.1999999999998</v>
      </c>
      <c r="M24" s="70">
        <f>'AUTO 2025'!AD24</f>
        <v>1041.5999999999999</v>
      </c>
      <c r="N24" s="69"/>
      <c r="O24" s="7"/>
      <c r="P24" s="60">
        <f>'AUTO 2026'!AC24</f>
        <v>2170.2600000000002</v>
      </c>
      <c r="Q24" s="70">
        <f>'AUTO 2026'!AD24</f>
        <v>1085.1300000000001</v>
      </c>
    </row>
    <row r="25" spans="1:17" x14ac:dyDescent="0.3">
      <c r="A25" s="4">
        <v>1</v>
      </c>
      <c r="B25" s="66" t="s">
        <v>10</v>
      </c>
      <c r="C25" s="66" t="s">
        <v>140</v>
      </c>
      <c r="D25" s="76">
        <f>SUM('[1]AUTO 2024'!V27:V28)</f>
        <v>244.2</v>
      </c>
      <c r="E25" s="53">
        <f>SUM('[1]AUTO 2024'!W27:W28)</f>
        <v>0</v>
      </c>
      <c r="F25" s="60">
        <f>'AUTO 2024'!Q27</f>
        <v>1594.08</v>
      </c>
      <c r="G25" s="60">
        <f>'AUTO 2024'!Q28</f>
        <v>1973.72</v>
      </c>
      <c r="H25" s="60">
        <f>SUM('AUTO 2024'!AC27:AC28)</f>
        <v>1977.94</v>
      </c>
      <c r="I25" s="70">
        <f>SUM('AUTO 2024'!AD27:AD28)</f>
        <v>988.97</v>
      </c>
      <c r="J25" s="330"/>
      <c r="K25" s="333"/>
      <c r="L25" s="60">
        <f>'AUTO 2025'!AC25</f>
        <v>2082.9</v>
      </c>
      <c r="M25" s="70">
        <f>'AUTO 2025'!AD25</f>
        <v>1041.45</v>
      </c>
      <c r="N25" s="69"/>
      <c r="O25" s="7"/>
      <c r="P25" s="60">
        <f>'AUTO 2026'!AC25</f>
        <v>2190.8200000000002</v>
      </c>
      <c r="Q25" s="70">
        <f>'AUTO 2026'!AD25</f>
        <v>1095.4100000000001</v>
      </c>
    </row>
    <row r="26" spans="1:17" x14ac:dyDescent="0.3">
      <c r="A26" s="4">
        <v>1</v>
      </c>
      <c r="B26" s="66" t="s">
        <v>10</v>
      </c>
      <c r="C26" s="66" t="s">
        <v>141</v>
      </c>
      <c r="D26" s="321"/>
      <c r="E26" s="334"/>
      <c r="F26" s="194">
        <f>'AUTO 2024'!Q29</f>
        <v>1577.6</v>
      </c>
      <c r="G26" s="60">
        <f>'AUTO 2024'!Q30</f>
        <v>1974.4</v>
      </c>
      <c r="H26" s="60">
        <f>SUM('AUTO 2024'!AC29:AC30)</f>
        <v>1970.8600000000001</v>
      </c>
      <c r="I26" s="70">
        <f>SUM('AUTO 2024'!AD29:AD30)</f>
        <v>985.43000000000006</v>
      </c>
      <c r="J26" s="328"/>
      <c r="K26" s="326"/>
      <c r="L26" s="60">
        <f>'AUTO 2025'!AC26</f>
        <v>2083.62</v>
      </c>
      <c r="M26" s="70">
        <f>'AUTO 2025'!AD26</f>
        <v>1041.81</v>
      </c>
      <c r="N26" s="69"/>
      <c r="O26" s="7"/>
      <c r="P26" s="60">
        <f>'AUTO 2026'!AC26</f>
        <v>2177.46</v>
      </c>
      <c r="Q26" s="70">
        <f>'AUTO 2026'!AD26</f>
        <v>1088.73</v>
      </c>
    </row>
    <row r="27" spans="1:17" x14ac:dyDescent="0.3">
      <c r="A27" s="4">
        <v>1</v>
      </c>
      <c r="B27" s="66" t="s">
        <v>10</v>
      </c>
      <c r="C27" s="66" t="s">
        <v>142</v>
      </c>
      <c r="D27" s="80">
        <f>SUM('[1]AUTO 2024'!V31:V32)</f>
        <v>6038.97</v>
      </c>
      <c r="E27" s="63">
        <f>SUM('[1]AUTO 2024'!W31:W32)</f>
        <v>268</v>
      </c>
      <c r="F27" s="60">
        <f>'AUTO 2024'!Q31</f>
        <v>1543.92</v>
      </c>
      <c r="G27" s="60">
        <f>'AUTO 2024'!Q32</f>
        <v>1932.48</v>
      </c>
      <c r="H27" s="60">
        <f>SUM('AUTO 2024'!AC31:AC32)</f>
        <v>1928.96</v>
      </c>
      <c r="I27" s="70">
        <f>SUM('AUTO 2024'!AD31:AD32)</f>
        <v>964.48</v>
      </c>
      <c r="J27" s="80">
        <f>'[1]AUTO 2025'!V27</f>
        <v>0</v>
      </c>
      <c r="K27" s="63">
        <f>SUM('[1]AUTO 2025'!W27)</f>
        <v>283</v>
      </c>
      <c r="L27" s="60">
        <f>'AUTO 2025'!AC27</f>
        <v>2313.14</v>
      </c>
      <c r="M27" s="70">
        <f>'AUTO 2025'!AD27</f>
        <v>1156.57</v>
      </c>
      <c r="N27" s="69"/>
      <c r="O27" s="7"/>
      <c r="P27" s="60">
        <f>'AUTO 2026'!AC27</f>
        <v>2419.7399999999998</v>
      </c>
      <c r="Q27" s="70">
        <f>'AUTO 2026'!AD27</f>
        <v>1209.8699999999999</v>
      </c>
    </row>
    <row r="28" spans="1:17" x14ac:dyDescent="0.3">
      <c r="A28" s="4">
        <v>1</v>
      </c>
      <c r="B28" s="486" t="s">
        <v>158</v>
      </c>
      <c r="C28" s="66" t="s">
        <v>143</v>
      </c>
      <c r="D28" s="327"/>
      <c r="E28" s="324"/>
      <c r="F28" s="194">
        <f>'AUTO 2024'!Q33</f>
        <v>1762.54</v>
      </c>
      <c r="G28" s="95">
        <f>'AUTO 2024'!Q34</f>
        <v>2102.7199999999998</v>
      </c>
      <c r="H28" s="60">
        <f>SUM('AUTO 2024'!AC33:AC34)</f>
        <v>2106.7799999999997</v>
      </c>
      <c r="I28" s="70">
        <f>SUM('AUTO 2024'!AD33:AD34)</f>
        <v>1053.3899999999999</v>
      </c>
      <c r="J28" s="321"/>
      <c r="K28" s="334"/>
      <c r="L28" s="60">
        <f>'AUTO 2025'!AC28</f>
        <v>2218.94</v>
      </c>
      <c r="M28" s="70">
        <f>'AUTO 2025'!AD28</f>
        <v>1109.47</v>
      </c>
      <c r="N28" s="69"/>
      <c r="O28" s="7"/>
      <c r="P28" s="60">
        <f>'AUTO 2026'!AC28</f>
        <v>2318.52</v>
      </c>
      <c r="Q28" s="70">
        <f>'AUTO 2026'!AD28</f>
        <v>1159.26</v>
      </c>
    </row>
    <row r="29" spans="1:17" x14ac:dyDescent="0.3">
      <c r="A29" s="4">
        <v>1</v>
      </c>
      <c r="B29" s="66" t="s">
        <v>10</v>
      </c>
      <c r="C29" s="66" t="s">
        <v>144</v>
      </c>
      <c r="D29" s="330"/>
      <c r="E29" s="333"/>
      <c r="F29" s="194">
        <f>'AUTO 2024'!Q35</f>
        <v>1591.8</v>
      </c>
      <c r="G29" s="340"/>
      <c r="H29" s="194">
        <f>'AUTO 2024'!AC35</f>
        <v>1983.9</v>
      </c>
      <c r="I29" s="70">
        <f>SUM('AUTO 2024'!AD35)</f>
        <v>991.95</v>
      </c>
      <c r="J29" s="80">
        <f>SUM('[1]AUTO 2025'!V29:V30)</f>
        <v>1475</v>
      </c>
      <c r="K29" s="63">
        <f>SUM('[1]AUTO 2025'!W29:W30)</f>
        <v>283</v>
      </c>
      <c r="L29" s="60">
        <f>'AUTO 2025'!AC29</f>
        <v>2094.04</v>
      </c>
      <c r="M29" s="70">
        <f>'AUTO 2025'!AD29</f>
        <v>1047.02</v>
      </c>
      <c r="N29" s="69"/>
      <c r="O29" s="7"/>
      <c r="P29" s="60">
        <f>'AUTO 2026'!AC29</f>
        <v>2183.9</v>
      </c>
      <c r="Q29" s="73">
        <f>'AUTO 2026'!AD29</f>
        <v>1091.95</v>
      </c>
    </row>
    <row r="30" spans="1:17" x14ac:dyDescent="0.3">
      <c r="A30" s="4">
        <v>1</v>
      </c>
      <c r="B30" s="66" t="s">
        <v>10</v>
      </c>
      <c r="C30" s="66" t="s">
        <v>145</v>
      </c>
      <c r="D30" s="330"/>
      <c r="E30" s="333"/>
      <c r="F30" s="194">
        <f>'AUTO 2024'!Q36</f>
        <v>1591.8</v>
      </c>
      <c r="G30" s="341"/>
      <c r="H30" s="194">
        <f>'AUTO 2024'!AC36</f>
        <v>1983.94</v>
      </c>
      <c r="I30" s="70">
        <f>SUM('AUTO 2024'!AD36)</f>
        <v>991.97</v>
      </c>
      <c r="J30" s="327"/>
      <c r="K30" s="324"/>
      <c r="L30" s="60">
        <f>'AUTO 2025'!AC31</f>
        <v>2093.7199999999998</v>
      </c>
      <c r="M30" s="70">
        <f>'AUTO 2025'!AD31</f>
        <v>1046.8599999999999</v>
      </c>
      <c r="N30" s="69"/>
      <c r="O30" s="7"/>
      <c r="P30" s="60">
        <f>'AUTO 2026'!AC31</f>
        <v>2183.2800000000002</v>
      </c>
      <c r="Q30" s="73">
        <f>'AUTO 2026'!AD31</f>
        <v>1091.6400000000001</v>
      </c>
    </row>
    <row r="31" spans="1:17" x14ac:dyDescent="0.3">
      <c r="A31" s="4">
        <v>1</v>
      </c>
      <c r="B31" s="486" t="s">
        <v>159</v>
      </c>
      <c r="C31" s="66" t="s">
        <v>146</v>
      </c>
      <c r="D31" s="330"/>
      <c r="E31" s="333"/>
      <c r="F31" s="194">
        <f>'AUTO 2024'!Q37</f>
        <v>1762.54</v>
      </c>
      <c r="G31" s="93">
        <f>'AUTO 2024'!Q38</f>
        <v>2188.38</v>
      </c>
      <c r="H31" s="60">
        <f>SUM('AUTO 2024'!AC37:AC38)</f>
        <v>2193.4399999999996</v>
      </c>
      <c r="I31" s="70">
        <f>SUM('AUTO 2024'!AD37:AD38)</f>
        <v>1096.7199999999998</v>
      </c>
      <c r="J31" s="330"/>
      <c r="K31" s="333"/>
      <c r="L31" s="60">
        <f>'AUTO 2025'!AC32</f>
        <v>2309.84</v>
      </c>
      <c r="M31" s="70">
        <f>'AUTO 2025'!AD32</f>
        <v>1154.92</v>
      </c>
      <c r="N31" s="76"/>
      <c r="O31" s="53"/>
      <c r="P31" s="95">
        <f>'AUTO 2026'!AC33</f>
        <v>2407.44</v>
      </c>
      <c r="Q31" s="77">
        <f>'AUTO 2026'!AD33</f>
        <v>1203.72</v>
      </c>
    </row>
    <row r="32" spans="1:17" x14ac:dyDescent="0.3">
      <c r="A32" s="4">
        <v>1</v>
      </c>
      <c r="B32" s="66" t="s">
        <v>10</v>
      </c>
      <c r="C32" s="66" t="s">
        <v>163</v>
      </c>
      <c r="D32" s="328"/>
      <c r="E32" s="326"/>
      <c r="F32" s="194">
        <f>'AUTO 2024'!Q39</f>
        <v>1762.54</v>
      </c>
      <c r="G32" s="60">
        <f>'AUTO 2024'!Q40</f>
        <v>2188.38</v>
      </c>
      <c r="H32" s="60">
        <f>SUM('AUTO 2024'!AC39:AC40)</f>
        <v>2193.4399999999996</v>
      </c>
      <c r="I32" s="70">
        <f>SUM('AUTO 2024'!AD39:AD40)</f>
        <v>1096.7199999999998</v>
      </c>
      <c r="J32" s="328"/>
      <c r="K32" s="326"/>
      <c r="L32" s="438">
        <f>'AUTO 2025'!AC33</f>
        <v>2309.84</v>
      </c>
      <c r="M32" s="222">
        <f>'AUTO 2025'!AD33</f>
        <v>1154.92</v>
      </c>
      <c r="N32" s="78"/>
      <c r="O32" s="64"/>
      <c r="P32" s="64"/>
      <c r="Q32" s="79"/>
    </row>
    <row r="33" spans="1:17" x14ac:dyDescent="0.3">
      <c r="A33" s="4">
        <v>1</v>
      </c>
      <c r="B33" s="486" t="s">
        <v>160</v>
      </c>
      <c r="C33" s="66" t="s">
        <v>147</v>
      </c>
      <c r="D33" s="91">
        <f>SUM('[1]AUTO 2024'!V41:V42)</f>
        <v>1486.36</v>
      </c>
      <c r="E33" s="54">
        <f>SUM('[1]AUTO 2024'!W41:W42)</f>
        <v>908</v>
      </c>
      <c r="F33" s="60">
        <f>'AUTO 2024'!Q41</f>
        <v>1753.32</v>
      </c>
      <c r="G33" s="60">
        <f>'AUTO 2024'!Q42</f>
        <v>2142.54</v>
      </c>
      <c r="H33" s="60">
        <f>SUM('AUTO 2024'!AC41:AC42)</f>
        <v>2147.3399999999997</v>
      </c>
      <c r="I33" s="70">
        <f>SUM('AUTO 2024'!AD41:AD42)</f>
        <v>1073.6699999999998</v>
      </c>
      <c r="J33" s="80">
        <f>SUM('[1]AUTO 2025'!V35:V36)</f>
        <v>691</v>
      </c>
      <c r="K33" s="63">
        <f>SUM('[1]AUTO 2025'!W35:W36)</f>
        <v>479</v>
      </c>
      <c r="L33" s="60">
        <f>'AUTO 2025'!AC35</f>
        <v>2555.1</v>
      </c>
      <c r="M33" s="70">
        <f>'AUTO 2025'!AD35</f>
        <v>1277.55</v>
      </c>
      <c r="N33" s="80"/>
      <c r="O33" s="63"/>
      <c r="P33" s="96">
        <f>'AUTO 2026'!AC34</f>
        <v>2946.3870967741937</v>
      </c>
      <c r="Q33" s="81">
        <f>'AUTO 2026'!AD34</f>
        <v>1826.76</v>
      </c>
    </row>
    <row r="34" spans="1:17" x14ac:dyDescent="0.3">
      <c r="A34" s="4">
        <v>1</v>
      </c>
      <c r="B34" s="66" t="s">
        <v>10</v>
      </c>
      <c r="C34" s="66" t="s">
        <v>164</v>
      </c>
      <c r="D34" s="76">
        <f>SUM('[1]AUTO 2024'!V43)</f>
        <v>572.05999999999995</v>
      </c>
      <c r="E34" s="53">
        <f>SUM('[1]AUTO 2024'!W43)</f>
        <v>0</v>
      </c>
      <c r="F34" s="60">
        <f>'AUTO 2024'!Q43</f>
        <v>1715.22</v>
      </c>
      <c r="G34" s="60">
        <f>'AUTO 2024'!Q44</f>
        <v>2257.3000000000002</v>
      </c>
      <c r="H34" s="60">
        <f>SUM('AUTO 2024'!AC43:AC44)</f>
        <v>2252.66</v>
      </c>
      <c r="I34" s="70">
        <f>SUM('AUTO 2024'!AD43:AD44)</f>
        <v>1126.33</v>
      </c>
      <c r="J34" s="321"/>
      <c r="K34" s="334"/>
      <c r="L34" s="438">
        <f>'AUTO 2025'!AC37</f>
        <v>2382.36</v>
      </c>
      <c r="M34" s="222">
        <f>'AUTO 2025'!AD37</f>
        <v>1191.18</v>
      </c>
      <c r="N34" s="82"/>
      <c r="O34" s="61"/>
      <c r="P34" s="61"/>
      <c r="Q34" s="83"/>
    </row>
    <row r="35" spans="1:17" x14ac:dyDescent="0.3">
      <c r="A35" s="4">
        <v>1</v>
      </c>
      <c r="B35" s="66" t="s">
        <v>10</v>
      </c>
      <c r="C35" s="66" t="s">
        <v>165</v>
      </c>
      <c r="D35" s="321"/>
      <c r="E35" s="334"/>
      <c r="F35" s="194">
        <f>'AUTO 2024'!Q45</f>
        <v>1497.48</v>
      </c>
      <c r="G35" s="60">
        <f>'AUTO 2024'!Q46</f>
        <v>1997</v>
      </c>
      <c r="H35" s="60">
        <f>SUM('AUTO 2024'!AC45:AC46)</f>
        <v>1992.6</v>
      </c>
      <c r="I35" s="70">
        <f>SUM('AUTO 2024'!AD45:AD46)</f>
        <v>996.3</v>
      </c>
      <c r="J35" s="80">
        <f>SUM('[1]AUTO 2025'!V41:V43)</f>
        <v>635</v>
      </c>
      <c r="K35" s="63">
        <f>SUM('[1]AUTO 2025'!W41:W43)</f>
        <v>479</v>
      </c>
      <c r="L35" s="438">
        <f>'AUTO 2025'!AC39</f>
        <v>2107.42</v>
      </c>
      <c r="M35" s="222">
        <f>'AUTO 2025'!AD39</f>
        <v>1053.71</v>
      </c>
      <c r="N35" s="84"/>
      <c r="O35" s="195"/>
      <c r="P35" s="195"/>
      <c r="Q35" s="85"/>
    </row>
    <row r="36" spans="1:17" x14ac:dyDescent="0.3">
      <c r="A36" s="4">
        <v>1</v>
      </c>
      <c r="B36" s="66" t="s">
        <v>10</v>
      </c>
      <c r="C36" s="66" t="s">
        <v>17</v>
      </c>
      <c r="D36" s="205">
        <f>SUM('[1]AUTO 2024'!V47:V48)</f>
        <v>222.46</v>
      </c>
      <c r="E36" s="206">
        <f>SUM('[1]AUTO 2024'!W47)</f>
        <v>0</v>
      </c>
      <c r="F36" s="182">
        <f>'AUTO 2024'!Q47</f>
        <v>1529.98</v>
      </c>
      <c r="G36" s="182">
        <f>'AUTO 2024'!Q48</f>
        <v>2111.14</v>
      </c>
      <c r="H36" s="182">
        <f>SUM('AUTO 2024'!AC47:AC48)</f>
        <v>2112.7400000000002</v>
      </c>
      <c r="I36" s="70">
        <f>SUM('AUTO 2024'!AD47:AD48)</f>
        <v>1056.3700000000001</v>
      </c>
      <c r="J36" s="327"/>
      <c r="K36" s="324"/>
      <c r="L36" s="438">
        <f>'AUTO 2025'!AC41</f>
        <v>2230.2399999999998</v>
      </c>
      <c r="M36" s="222">
        <f>'AUTO 2025'!AD41</f>
        <v>1115.1199999999999</v>
      </c>
      <c r="N36" s="84"/>
      <c r="O36" s="195"/>
      <c r="P36" s="195"/>
      <c r="Q36" s="85"/>
    </row>
    <row r="37" spans="1:17" ht="15" thickBot="1" x14ac:dyDescent="0.35">
      <c r="A37" s="4">
        <v>1</v>
      </c>
      <c r="B37" s="66" t="s">
        <v>10</v>
      </c>
      <c r="C37" s="66" t="s">
        <v>20</v>
      </c>
      <c r="D37" s="342"/>
      <c r="E37" s="343"/>
      <c r="F37" s="196">
        <f>'AUTO 2024'!Q49</f>
        <v>1382.2</v>
      </c>
      <c r="G37" s="183">
        <f>'AUTO 2024'!Q50</f>
        <v>1906.42</v>
      </c>
      <c r="H37" s="183">
        <f>SUM('AUTO 2024'!AC49:AC50)</f>
        <v>1907.3600000000001</v>
      </c>
      <c r="I37" s="74">
        <f>SUM('AUTO 2024'!AD49:AD50)</f>
        <v>953.68000000000006</v>
      </c>
      <c r="J37" s="335"/>
      <c r="K37" s="336"/>
      <c r="L37" s="467">
        <f>'AUTO 2025'!AC44</f>
        <v>2014.44</v>
      </c>
      <c r="M37" s="470">
        <f>'AUTO 2025'!AD44</f>
        <v>1007.22</v>
      </c>
      <c r="N37" s="86"/>
      <c r="O37" s="87"/>
      <c r="P37" s="87"/>
      <c r="Q37" s="88"/>
    </row>
    <row r="38" spans="1:17" x14ac:dyDescent="0.3">
      <c r="A38" s="10">
        <f>SUM(A3:A37)</f>
        <v>35</v>
      </c>
      <c r="D38" s="31">
        <f t="shared" ref="D38:I38" si="0">SUM(D13:D37)</f>
        <v>18933.86</v>
      </c>
      <c r="E38" s="31">
        <f t="shared" si="0"/>
        <v>3384</v>
      </c>
      <c r="F38" s="439">
        <f t="shared" si="0"/>
        <v>41070.050000000003</v>
      </c>
      <c r="G38" s="439">
        <f t="shared" si="0"/>
        <v>43475.8</v>
      </c>
      <c r="H38" s="31">
        <f t="shared" si="0"/>
        <v>53851.380000000005</v>
      </c>
      <c r="I38" s="31">
        <f t="shared" si="0"/>
        <v>26925.690000000002</v>
      </c>
      <c r="J38" s="31">
        <f t="shared" ref="J38:O38" si="1">SUM(J4:J37)</f>
        <v>10527.16</v>
      </c>
      <c r="K38" s="31">
        <f t="shared" si="1"/>
        <v>3319</v>
      </c>
      <c r="L38" s="31">
        <f t="shared" si="1"/>
        <v>74493.736774193574</v>
      </c>
      <c r="M38" s="31">
        <f t="shared" si="1"/>
        <v>37505.960000000014</v>
      </c>
      <c r="N38" s="31">
        <f t="shared" si="1"/>
        <v>0</v>
      </c>
      <c r="O38" s="31">
        <f t="shared" si="1"/>
        <v>0</v>
      </c>
      <c r="P38" s="31">
        <f>SUM(P3:P37)</f>
        <v>66584.505027808671</v>
      </c>
      <c r="Q38" s="31">
        <f>SUM(Q3:Q37)</f>
        <v>33835.869999999995</v>
      </c>
    </row>
    <row r="39" spans="1:17" x14ac:dyDescent="0.3">
      <c r="D39" s="57"/>
      <c r="E39" s="57"/>
      <c r="F39" s="57"/>
      <c r="G39" s="57"/>
      <c r="H39" s="57"/>
      <c r="I39" s="57"/>
      <c r="L39" s="57"/>
      <c r="M39" s="57"/>
    </row>
    <row r="40" spans="1:17" x14ac:dyDescent="0.3">
      <c r="A40" s="877" t="s">
        <v>95</v>
      </c>
      <c r="B40" s="394" t="s">
        <v>89</v>
      </c>
      <c r="D40" s="57"/>
      <c r="E40" s="57"/>
      <c r="F40" s="213"/>
      <c r="G40" s="213"/>
      <c r="H40" s="400">
        <f>SUM(H13:H14)</f>
        <v>4199.96</v>
      </c>
      <c r="I40" s="7">
        <f>SUM(I13:I14)</f>
        <v>2099.98</v>
      </c>
      <c r="L40" s="7">
        <f>SUM(L4:L12)</f>
        <v>16459.600000000002</v>
      </c>
      <c r="M40" s="7">
        <f>SUM(M4:M12)</f>
        <v>8229.8000000000011</v>
      </c>
      <c r="P40" s="7">
        <f>P3</f>
        <v>2000.46</v>
      </c>
      <c r="Q40" s="7">
        <f>Q3</f>
        <v>1000.23</v>
      </c>
    </row>
    <row r="41" spans="1:17" x14ac:dyDescent="0.3">
      <c r="A41" s="878"/>
      <c r="B41" s="394" t="s">
        <v>90</v>
      </c>
      <c r="D41" s="57"/>
      <c r="E41" s="57"/>
      <c r="F41" s="197"/>
      <c r="G41" s="197"/>
      <c r="H41" s="400">
        <v>0</v>
      </c>
      <c r="I41" s="7">
        <v>0</v>
      </c>
      <c r="L41" s="7">
        <f>L16+L32+SUM(L34:L37)</f>
        <v>13259.560000000001</v>
      </c>
      <c r="M41" s="7">
        <f>M16+M32+SUM(M34:M37)</f>
        <v>6629.7800000000007</v>
      </c>
      <c r="P41" s="7">
        <v>0</v>
      </c>
      <c r="Q41" s="7">
        <v>0</v>
      </c>
    </row>
    <row r="42" spans="1:17" x14ac:dyDescent="0.3">
      <c r="A42" s="878"/>
      <c r="I42" s="57"/>
      <c r="J42" s="57"/>
      <c r="K42" s="57"/>
      <c r="L42" s="57"/>
      <c r="M42" s="57"/>
    </row>
    <row r="43" spans="1:17" s="442" customFormat="1" x14ac:dyDescent="0.3">
      <c r="A43" s="878"/>
      <c r="B43" s="482" t="s">
        <v>93</v>
      </c>
      <c r="E43" s="444"/>
      <c r="F43" s="219"/>
      <c r="G43" s="444"/>
      <c r="H43" s="445">
        <f>AVERAGE(H15:H37)</f>
        <v>2158.7573913043479</v>
      </c>
      <c r="I43" s="445">
        <f>AVERAGE(I15:I37)</f>
        <v>1079.378695652174</v>
      </c>
      <c r="J43" s="444"/>
      <c r="K43" s="444"/>
      <c r="L43" s="445">
        <f>AVERAGE(L13:L37)</f>
        <v>2321.3654709677421</v>
      </c>
      <c r="M43" s="445">
        <f>AVERAGE(M13:M37)</f>
        <v>1171.0463999999999</v>
      </c>
      <c r="N43" s="444"/>
      <c r="O43" s="444"/>
      <c r="P43" s="445">
        <f>AVERAGE(P4:P15,P17:P31,P33)</f>
        <v>2306.5730367074525</v>
      </c>
      <c r="Q43" s="445">
        <f>AVERAGE(Q4:Q15,Q17:Q31,Q33)</f>
        <v>1172.7014285714286</v>
      </c>
    </row>
    <row r="44" spans="1:17" s="442" customFormat="1" x14ac:dyDescent="0.3">
      <c r="A44" s="878"/>
      <c r="B44" s="482" t="s">
        <v>94</v>
      </c>
      <c r="E44" s="444"/>
      <c r="F44" s="445">
        <f>AVERAGE(F15:F37)</f>
        <v>1785.6543478260871</v>
      </c>
      <c r="G44" s="444"/>
      <c r="H44" s="445">
        <f>AVERAGE(H13:H37)</f>
        <v>2154.0552000000002</v>
      </c>
      <c r="I44" s="445">
        <f>AVERAGE(I13:I37)</f>
        <v>1077.0276000000001</v>
      </c>
      <c r="J44" s="444"/>
      <c r="K44" s="493"/>
      <c r="L44" s="445">
        <f>AVERAGE(L4:L15,L17:L31,L33)</f>
        <v>2186.9348847926276</v>
      </c>
      <c r="M44" s="445">
        <f>AVERAGE(M4:M15,M17:M31,M33)</f>
        <v>1102.7207142857144</v>
      </c>
      <c r="N44" s="444"/>
      <c r="O44" s="444"/>
      <c r="P44" s="539">
        <f>AVERAGE(P3:P15,P17:P31,P33)</f>
        <v>2296.0174147520233</v>
      </c>
      <c r="Q44" s="539">
        <f>AVERAGE(Q3:Q15,Q17:Q31,Q33)</f>
        <v>1166.7541379310344</v>
      </c>
    </row>
    <row r="45" spans="1:17" s="442" customFormat="1" x14ac:dyDescent="0.3">
      <c r="A45" s="878"/>
      <c r="B45" s="482" t="s">
        <v>88</v>
      </c>
      <c r="E45" s="444"/>
      <c r="F45" s="445">
        <f>F38/F95</f>
        <v>1785.6543478260871</v>
      </c>
      <c r="G45" s="444"/>
      <c r="H45" s="445">
        <f>H38/H95</f>
        <v>2154.0552000000002</v>
      </c>
      <c r="I45" s="445">
        <f>I38/H95</f>
        <v>1077.0276000000001</v>
      </c>
      <c r="J45" s="444"/>
      <c r="K45" s="444"/>
      <c r="L45" s="445">
        <f>L38/L95</f>
        <v>2190.992258064517</v>
      </c>
      <c r="M45" s="445">
        <f>M38/L95</f>
        <v>1103.1164705882356</v>
      </c>
      <c r="N45" s="444"/>
      <c r="O45" s="444"/>
      <c r="P45" s="445">
        <f>P38/P95</f>
        <v>2296.0174147520233</v>
      </c>
      <c r="Q45" s="445">
        <f>Q38/P95</f>
        <v>1166.7541379310344</v>
      </c>
    </row>
    <row r="46" spans="1:17" x14ac:dyDescent="0.3">
      <c r="A46" s="878"/>
      <c r="B46" s="434"/>
      <c r="E46" s="435"/>
      <c r="F46" s="436"/>
      <c r="G46" s="435"/>
      <c r="H46" s="436"/>
      <c r="I46" s="436"/>
      <c r="J46" s="435"/>
      <c r="K46" s="435"/>
      <c r="L46" s="436"/>
      <c r="M46" s="436"/>
      <c r="N46" s="435"/>
      <c r="O46" s="435"/>
      <c r="P46" s="436"/>
      <c r="Q46" s="436"/>
    </row>
    <row r="47" spans="1:17" x14ac:dyDescent="0.3">
      <c r="A47" s="878"/>
      <c r="B47" s="483" t="s">
        <v>100</v>
      </c>
      <c r="C47" s="442"/>
      <c r="D47" s="442"/>
      <c r="E47" s="442"/>
      <c r="F47" s="442"/>
      <c r="H47" s="437">
        <f>(H43-F44)/F44*100</f>
        <v>20.894471762269582</v>
      </c>
      <c r="I47" s="446"/>
      <c r="J47" s="442"/>
      <c r="K47" s="442"/>
      <c r="L47" s="437">
        <f>(L43-H44)/H44*100</f>
        <v>7.7672230018869453</v>
      </c>
      <c r="M47" s="437">
        <f>(M43-I44)/I44*100</f>
        <v>8.7294698854513868</v>
      </c>
      <c r="N47" s="442"/>
      <c r="O47" s="447"/>
      <c r="P47" s="437">
        <f>(P43-L44)/L44*100</f>
        <v>5.470585921270783</v>
      </c>
      <c r="Q47" s="437">
        <f>(Q43-M44)/M44*100</f>
        <v>6.3461866072810693</v>
      </c>
    </row>
    <row r="48" spans="1:17" x14ac:dyDescent="0.3">
      <c r="A48" s="879"/>
      <c r="B48" s="483" t="s">
        <v>101</v>
      </c>
      <c r="C48" s="442"/>
      <c r="D48" s="442"/>
      <c r="E48" s="442"/>
      <c r="F48" s="442"/>
      <c r="H48" s="437">
        <f>(H45-F45)/F45*100</f>
        <v>20.631140210445327</v>
      </c>
      <c r="I48" s="446"/>
      <c r="J48" s="442"/>
      <c r="K48" s="442"/>
      <c r="L48" s="437">
        <f>(L45-H45)/H45*100</f>
        <v>1.7147684081873484</v>
      </c>
      <c r="M48" s="437">
        <f>(M45-I45)/I45*100</f>
        <v>2.4223028813964951</v>
      </c>
      <c r="N48" s="442"/>
      <c r="O48" s="447"/>
      <c r="P48" s="437">
        <f>(P45-L45)/L45*100</f>
        <v>4.7934973891821793</v>
      </c>
      <c r="Q48" s="437">
        <f>(Q45-M45)/M45*100</f>
        <v>5.7688983021769253</v>
      </c>
    </row>
    <row r="49" spans="1:17" ht="15" thickBot="1" x14ac:dyDescent="0.35">
      <c r="B49" s="434"/>
      <c r="E49" s="435"/>
      <c r="F49" s="436"/>
      <c r="G49" s="435"/>
      <c r="H49" s="436"/>
      <c r="I49" s="436"/>
      <c r="J49" s="435"/>
      <c r="K49" s="435"/>
      <c r="L49" s="436"/>
      <c r="M49" s="436"/>
      <c r="N49" s="435"/>
      <c r="O49" s="435"/>
      <c r="P49" s="436"/>
      <c r="Q49" s="436"/>
    </row>
    <row r="50" spans="1:17" x14ac:dyDescent="0.3">
      <c r="B50" s="880" t="s">
        <v>75</v>
      </c>
      <c r="C50" s="881"/>
      <c r="D50" s="882">
        <v>2024</v>
      </c>
      <c r="E50" s="883"/>
      <c r="F50" s="884"/>
      <c r="G50" s="884"/>
      <c r="H50" s="884"/>
      <c r="I50" s="885"/>
      <c r="J50" s="882">
        <v>2025</v>
      </c>
      <c r="K50" s="883"/>
      <c r="L50" s="884"/>
      <c r="M50" s="885"/>
      <c r="N50" s="886">
        <v>2026</v>
      </c>
      <c r="O50" s="883"/>
      <c r="P50" s="884"/>
      <c r="Q50" s="885"/>
    </row>
    <row r="51" spans="1:17" ht="43.2" x14ac:dyDescent="0.3">
      <c r="B51" s="65" t="s">
        <v>18</v>
      </c>
      <c r="C51" s="65" t="s">
        <v>19</v>
      </c>
      <c r="D51" s="163" t="s">
        <v>72</v>
      </c>
      <c r="E51" s="201" t="s">
        <v>27</v>
      </c>
      <c r="F51" s="167" t="s">
        <v>10</v>
      </c>
      <c r="G51" s="167" t="s">
        <v>78</v>
      </c>
      <c r="H51" s="199" t="s">
        <v>10</v>
      </c>
      <c r="I51" s="165" t="s">
        <v>10</v>
      </c>
      <c r="J51" s="108" t="s">
        <v>72</v>
      </c>
      <c r="K51" s="10" t="s">
        <v>27</v>
      </c>
      <c r="L51" s="14" t="s">
        <v>79</v>
      </c>
      <c r="M51" s="94" t="s">
        <v>80</v>
      </c>
      <c r="N51" s="107" t="s">
        <v>72</v>
      </c>
      <c r="O51" s="201" t="s">
        <v>27</v>
      </c>
      <c r="P51" s="14" t="s">
        <v>79</v>
      </c>
      <c r="Q51" s="94" t="s">
        <v>80</v>
      </c>
    </row>
    <row r="52" spans="1:17" x14ac:dyDescent="0.3">
      <c r="A52" s="4">
        <v>1</v>
      </c>
      <c r="B52" s="484" t="s">
        <v>10</v>
      </c>
      <c r="C52" s="67" t="s">
        <v>119</v>
      </c>
      <c r="D52" s="281"/>
      <c r="E52" s="246"/>
      <c r="F52" s="245"/>
      <c r="G52" s="245"/>
      <c r="H52" s="245"/>
      <c r="I52" s="460"/>
      <c r="J52" s="280"/>
      <c r="K52" s="268"/>
      <c r="L52" s="284"/>
      <c r="M52" s="285"/>
      <c r="N52" s="520"/>
      <c r="O52" s="521"/>
      <c r="P52" s="522">
        <f>(P3-L16)/L16*100</f>
        <v>-9.6963787546382889</v>
      </c>
      <c r="Q52" s="523">
        <f>(Q3-M16)/M16*100</f>
        <v>-9.6963787546382889</v>
      </c>
    </row>
    <row r="53" spans="1:17" x14ac:dyDescent="0.3">
      <c r="A53" s="4">
        <v>1</v>
      </c>
      <c r="B53" s="67" t="s">
        <v>148</v>
      </c>
      <c r="C53" s="67" t="s">
        <v>120</v>
      </c>
      <c r="D53" s="259"/>
      <c r="E53" s="247"/>
      <c r="F53" s="457"/>
      <c r="G53" s="457"/>
      <c r="H53" s="457"/>
      <c r="I53" s="461"/>
      <c r="J53" s="269">
        <v>1</v>
      </c>
      <c r="K53" s="4" t="s">
        <v>30</v>
      </c>
      <c r="L53" s="286"/>
      <c r="M53" s="287"/>
      <c r="N53" s="524"/>
      <c r="O53" s="25"/>
      <c r="P53" s="525">
        <f t="shared" ref="P53:P64" si="2">(P4-L4)/L4*100</f>
        <v>5.2362975391498781</v>
      </c>
      <c r="Q53" s="526">
        <f t="shared" ref="Q53:Q64" si="3">(Q4-M4)/M4*100</f>
        <v>5.2362975391498781</v>
      </c>
    </row>
    <row r="54" spans="1:17" x14ac:dyDescent="0.3">
      <c r="A54" s="4">
        <v>1</v>
      </c>
      <c r="B54" s="485" t="s">
        <v>10</v>
      </c>
      <c r="C54" s="67" t="s">
        <v>121</v>
      </c>
      <c r="D54" s="259"/>
      <c r="E54" s="247"/>
      <c r="F54" s="457"/>
      <c r="G54" s="457"/>
      <c r="H54" s="457"/>
      <c r="I54" s="461"/>
      <c r="J54" s="254"/>
      <c r="K54" s="255"/>
      <c r="L54" s="347"/>
      <c r="M54" s="287"/>
      <c r="N54" s="524"/>
      <c r="O54" s="25"/>
      <c r="P54" s="525">
        <f t="shared" si="2"/>
        <v>4.5559991969842315</v>
      </c>
      <c r="Q54" s="526">
        <f t="shared" si="3"/>
        <v>4.5559991969842315</v>
      </c>
    </row>
    <row r="55" spans="1:17" x14ac:dyDescent="0.3">
      <c r="A55" s="4">
        <v>1</v>
      </c>
      <c r="B55" s="485" t="s">
        <v>10</v>
      </c>
      <c r="C55" s="67" t="s">
        <v>122</v>
      </c>
      <c r="D55" s="259"/>
      <c r="E55" s="247"/>
      <c r="F55" s="457"/>
      <c r="G55" s="457"/>
      <c r="H55" s="457"/>
      <c r="I55" s="461"/>
      <c r="J55" s="256"/>
      <c r="K55" s="257"/>
      <c r="L55" s="347"/>
      <c r="M55" s="287"/>
      <c r="N55" s="524"/>
      <c r="O55" s="25"/>
      <c r="P55" s="525">
        <f t="shared" si="2"/>
        <v>4.5559991969842315</v>
      </c>
      <c r="Q55" s="526">
        <f t="shared" si="3"/>
        <v>4.5559991969842315</v>
      </c>
    </row>
    <row r="56" spans="1:17" x14ac:dyDescent="0.3">
      <c r="A56" s="4">
        <v>1</v>
      </c>
      <c r="B56" s="485" t="s">
        <v>10</v>
      </c>
      <c r="C56" s="67" t="s">
        <v>123</v>
      </c>
      <c r="D56" s="259"/>
      <c r="E56" s="247"/>
      <c r="F56" s="457"/>
      <c r="G56" s="457"/>
      <c r="H56" s="457"/>
      <c r="I56" s="461"/>
      <c r="J56" s="250">
        <v>1</v>
      </c>
      <c r="K56" s="251" t="s">
        <v>30</v>
      </c>
      <c r="L56" s="286"/>
      <c r="M56" s="287"/>
      <c r="N56" s="524"/>
      <c r="O56" s="25"/>
      <c r="P56" s="525">
        <f t="shared" si="2"/>
        <v>4.5559991969842315</v>
      </c>
      <c r="Q56" s="526">
        <f t="shared" si="3"/>
        <v>4.5559991969842315</v>
      </c>
    </row>
    <row r="57" spans="1:17" x14ac:dyDescent="0.3">
      <c r="A57" s="4">
        <v>1</v>
      </c>
      <c r="B57" s="485" t="s">
        <v>10</v>
      </c>
      <c r="C57" s="67" t="s">
        <v>124</v>
      </c>
      <c r="D57" s="259"/>
      <c r="E57" s="247"/>
      <c r="F57" s="457"/>
      <c r="G57" s="457"/>
      <c r="H57" s="457"/>
      <c r="I57" s="461"/>
      <c r="J57" s="252">
        <v>1</v>
      </c>
      <c r="K57" s="253" t="s">
        <v>30</v>
      </c>
      <c r="L57" s="286"/>
      <c r="M57" s="287"/>
      <c r="N57" s="524"/>
      <c r="O57" s="25"/>
      <c r="P57" s="525">
        <f t="shared" si="2"/>
        <v>4.5559991969842315</v>
      </c>
      <c r="Q57" s="526">
        <f t="shared" si="3"/>
        <v>4.5559991969842315</v>
      </c>
    </row>
    <row r="58" spans="1:17" x14ac:dyDescent="0.3">
      <c r="A58" s="4">
        <v>1</v>
      </c>
      <c r="B58" s="485" t="s">
        <v>10</v>
      </c>
      <c r="C58" s="67" t="s">
        <v>125</v>
      </c>
      <c r="D58" s="259"/>
      <c r="E58" s="247"/>
      <c r="F58" s="457"/>
      <c r="G58" s="457"/>
      <c r="H58" s="457"/>
      <c r="I58" s="461"/>
      <c r="J58" s="254"/>
      <c r="K58" s="255"/>
      <c r="L58" s="347"/>
      <c r="M58" s="287"/>
      <c r="N58" s="524"/>
      <c r="O58" s="25"/>
      <c r="P58" s="525">
        <f t="shared" si="2"/>
        <v>5.1282596447213171</v>
      </c>
      <c r="Q58" s="526">
        <f t="shared" si="3"/>
        <v>5.1282596447213171</v>
      </c>
    </row>
    <row r="59" spans="1:17" x14ac:dyDescent="0.3">
      <c r="A59" s="4">
        <v>1</v>
      </c>
      <c r="B59" s="485" t="s">
        <v>10</v>
      </c>
      <c r="C59" s="67" t="s">
        <v>126</v>
      </c>
      <c r="D59" s="259"/>
      <c r="E59" s="247"/>
      <c r="F59" s="457"/>
      <c r="G59" s="457"/>
      <c r="H59" s="457"/>
      <c r="I59" s="461"/>
      <c r="J59" s="256"/>
      <c r="K59" s="257"/>
      <c r="L59" s="347"/>
      <c r="M59" s="287"/>
      <c r="N59" s="524"/>
      <c r="O59" s="25"/>
      <c r="P59" s="525">
        <f t="shared" si="2"/>
        <v>5.1282596447213171</v>
      </c>
      <c r="Q59" s="526">
        <f t="shared" si="3"/>
        <v>5.1282596447213171</v>
      </c>
    </row>
    <row r="60" spans="1:17" x14ac:dyDescent="0.3">
      <c r="A60" s="4">
        <v>1</v>
      </c>
      <c r="B60" s="485" t="s">
        <v>149</v>
      </c>
      <c r="C60" s="67" t="s">
        <v>127</v>
      </c>
      <c r="D60" s="259"/>
      <c r="E60" s="247"/>
      <c r="F60" s="457"/>
      <c r="G60" s="457"/>
      <c r="H60" s="457"/>
      <c r="I60" s="461"/>
      <c r="J60" s="273">
        <v>1</v>
      </c>
      <c r="K60" s="264" t="s">
        <v>29</v>
      </c>
      <c r="L60" s="286"/>
      <c r="M60" s="287"/>
      <c r="N60" s="524"/>
      <c r="O60" s="25"/>
      <c r="P60" s="527">
        <f t="shared" si="2"/>
        <v>12.393397768459952</v>
      </c>
      <c r="Q60" s="528">
        <f t="shared" si="3"/>
        <v>12.393397768459952</v>
      </c>
    </row>
    <row r="61" spans="1:17" x14ac:dyDescent="0.3">
      <c r="A61" s="4">
        <v>1</v>
      </c>
      <c r="B61" s="485" t="s">
        <v>10</v>
      </c>
      <c r="C61" s="485" t="s">
        <v>128</v>
      </c>
      <c r="D61" s="259"/>
      <c r="E61" s="247"/>
      <c r="F61" s="457"/>
      <c r="G61" s="457"/>
      <c r="H61" s="457"/>
      <c r="I61" s="461"/>
      <c r="J61" s="259"/>
      <c r="K61" s="247"/>
      <c r="L61" s="347"/>
      <c r="M61" s="288"/>
      <c r="N61" s="524"/>
      <c r="O61" s="25"/>
      <c r="P61" s="525">
        <f t="shared" si="2"/>
        <v>4.6455325154706291</v>
      </c>
      <c r="Q61" s="526">
        <f t="shared" si="3"/>
        <v>4.6455325154706291</v>
      </c>
    </row>
    <row r="62" spans="1:17" x14ac:dyDescent="0.3">
      <c r="A62" s="4">
        <v>1</v>
      </c>
      <c r="B62" s="486" t="s">
        <v>150</v>
      </c>
      <c r="C62" s="66" t="s">
        <v>129</v>
      </c>
      <c r="D62" s="259"/>
      <c r="E62" s="247"/>
      <c r="F62" s="457"/>
      <c r="G62" s="457"/>
      <c r="H62" s="457"/>
      <c r="I62" s="461"/>
      <c r="J62" s="274">
        <v>1</v>
      </c>
      <c r="K62" s="275" t="s">
        <v>76</v>
      </c>
      <c r="L62" s="516">
        <f t="shared" ref="L62:L86" si="4">(L13-H13)/H13*100</f>
        <v>5.5169534765063339</v>
      </c>
      <c r="M62" s="517">
        <f t="shared" ref="M62:M86" si="5">(M13-I13)/I13*100</f>
        <v>5.5169534765063339</v>
      </c>
      <c r="N62" s="270"/>
      <c r="O62" s="4"/>
      <c r="P62" s="348">
        <f t="shared" si="2"/>
        <v>4.7704453939617721</v>
      </c>
      <c r="Q62" s="349">
        <f t="shared" si="3"/>
        <v>4.7704453939617721</v>
      </c>
    </row>
    <row r="63" spans="1:17" x14ac:dyDescent="0.3">
      <c r="A63" s="4">
        <v>1</v>
      </c>
      <c r="B63" s="486" t="s">
        <v>151</v>
      </c>
      <c r="C63" s="66" t="s">
        <v>130</v>
      </c>
      <c r="D63" s="282">
        <v>1</v>
      </c>
      <c r="E63" s="262" t="s">
        <v>31</v>
      </c>
      <c r="F63" s="198"/>
      <c r="G63" s="198"/>
      <c r="H63" s="198"/>
      <c r="I63" s="462"/>
      <c r="J63" s="299"/>
      <c r="K63" s="316"/>
      <c r="L63" s="518">
        <f t="shared" si="4"/>
        <v>5.6278570195370392</v>
      </c>
      <c r="M63" s="519">
        <f t="shared" si="5"/>
        <v>30.978542704225916</v>
      </c>
      <c r="N63" s="270"/>
      <c r="O63" s="4"/>
      <c r="P63" s="350">
        <f t="shared" si="2"/>
        <v>10.029247388497211</v>
      </c>
      <c r="Q63" s="351">
        <f t="shared" si="3"/>
        <v>2.9305862666586826</v>
      </c>
    </row>
    <row r="64" spans="1:17" x14ac:dyDescent="0.3">
      <c r="A64" s="4">
        <v>1</v>
      </c>
      <c r="B64" s="486" t="s">
        <v>152</v>
      </c>
      <c r="C64" s="66" t="s">
        <v>131</v>
      </c>
      <c r="D64" s="250">
        <v>1</v>
      </c>
      <c r="E64" s="38" t="s">
        <v>30</v>
      </c>
      <c r="F64" s="464"/>
      <c r="G64" s="346">
        <f t="shared" ref="G64:G71" si="6">(G15-F15)/F15*100</f>
        <v>10.33495134463641</v>
      </c>
      <c r="H64" s="464"/>
      <c r="I64" s="463"/>
      <c r="J64" s="313"/>
      <c r="K64" s="317"/>
      <c r="L64" s="289">
        <f t="shared" si="4"/>
        <v>5.852234961781325</v>
      </c>
      <c r="M64" s="290">
        <f t="shared" si="5"/>
        <v>5.852234961781325</v>
      </c>
      <c r="N64" s="271">
        <v>1</v>
      </c>
      <c r="O64" s="51" t="s">
        <v>30</v>
      </c>
      <c r="P64" s="352">
        <f t="shared" si="2"/>
        <v>5.2058907214269539</v>
      </c>
      <c r="Q64" s="353">
        <f t="shared" si="3"/>
        <v>5.2058907214269539</v>
      </c>
    </row>
    <row r="65" spans="1:17" x14ac:dyDescent="0.3">
      <c r="A65" s="4">
        <v>1</v>
      </c>
      <c r="B65" s="67" t="s">
        <v>169</v>
      </c>
      <c r="C65" s="67" t="s">
        <v>162</v>
      </c>
      <c r="D65" s="344"/>
      <c r="E65" s="345"/>
      <c r="F65" s="465"/>
      <c r="G65" s="308">
        <f t="shared" si="6"/>
        <v>22.557195032870723</v>
      </c>
      <c r="H65" s="306"/>
      <c r="I65" s="489"/>
      <c r="J65" s="313"/>
      <c r="K65" s="317"/>
      <c r="L65" s="512">
        <f t="shared" si="4"/>
        <v>5.8757742601514131</v>
      </c>
      <c r="M65" s="513">
        <f t="shared" si="5"/>
        <v>5.8757742601514131</v>
      </c>
      <c r="N65" s="243"/>
      <c r="O65" s="243"/>
      <c r="P65" s="354"/>
      <c r="Q65" s="355"/>
    </row>
    <row r="66" spans="1:17" x14ac:dyDescent="0.3">
      <c r="A66" s="4">
        <v>1</v>
      </c>
      <c r="B66" s="66" t="s">
        <v>153</v>
      </c>
      <c r="C66" s="66" t="s">
        <v>132</v>
      </c>
      <c r="D66" s="250">
        <v>1</v>
      </c>
      <c r="E66" s="251" t="s">
        <v>30</v>
      </c>
      <c r="F66" s="301"/>
      <c r="G66" s="293">
        <f t="shared" si="6"/>
        <v>11.366856639062938</v>
      </c>
      <c r="H66" s="303"/>
      <c r="I66" s="463"/>
      <c r="J66" s="313"/>
      <c r="K66" s="317"/>
      <c r="L66" s="289">
        <f t="shared" si="4"/>
        <v>5.7421011878906869</v>
      </c>
      <c r="M66" s="290">
        <f t="shared" si="5"/>
        <v>5.7421011878906869</v>
      </c>
      <c r="N66" s="272"/>
      <c r="O66" s="38"/>
      <c r="P66" s="356">
        <f t="shared" ref="P66:P80" si="7">(P17-L17)/L17*100</f>
        <v>4.0854415402337851</v>
      </c>
      <c r="Q66" s="357">
        <f t="shared" ref="Q66:Q80" si="8">(Q17-M17)/M17*100</f>
        <v>4.0854415402337851</v>
      </c>
    </row>
    <row r="67" spans="1:17" x14ac:dyDescent="0.3">
      <c r="A67" s="4">
        <v>1</v>
      </c>
      <c r="B67" s="486" t="s">
        <v>10</v>
      </c>
      <c r="C67" s="66" t="s">
        <v>133</v>
      </c>
      <c r="D67" s="252">
        <v>1</v>
      </c>
      <c r="E67" s="253" t="s">
        <v>29</v>
      </c>
      <c r="F67" s="301"/>
      <c r="G67" s="293">
        <f t="shared" si="6"/>
        <v>11.336669499260372</v>
      </c>
      <c r="H67" s="303"/>
      <c r="I67" s="463"/>
      <c r="J67" s="313"/>
      <c r="K67" s="317"/>
      <c r="L67" s="292">
        <f t="shared" si="4"/>
        <v>10.310874470153978</v>
      </c>
      <c r="M67" s="291">
        <f t="shared" si="5"/>
        <v>10.310874470153978</v>
      </c>
      <c r="N67" s="270"/>
      <c r="O67" s="4"/>
      <c r="P67" s="348">
        <f t="shared" si="7"/>
        <v>4.0779125195765555</v>
      </c>
      <c r="Q67" s="349">
        <f t="shared" si="8"/>
        <v>4.0779125195765555</v>
      </c>
    </row>
    <row r="68" spans="1:17" x14ac:dyDescent="0.3">
      <c r="A68" s="4">
        <v>1</v>
      </c>
      <c r="B68" s="486" t="s">
        <v>154</v>
      </c>
      <c r="C68" s="66" t="s">
        <v>134</v>
      </c>
      <c r="D68" s="309"/>
      <c r="E68" s="310"/>
      <c r="F68" s="301"/>
      <c r="G68" s="293">
        <f t="shared" si="6"/>
        <v>11.336669499260372</v>
      </c>
      <c r="H68" s="303"/>
      <c r="I68" s="463"/>
      <c r="J68" s="313"/>
      <c r="K68" s="317"/>
      <c r="L68" s="289">
        <f t="shared" si="4"/>
        <v>5.7350817072134586</v>
      </c>
      <c r="M68" s="290">
        <f t="shared" si="5"/>
        <v>5.7350817072134586</v>
      </c>
      <c r="N68" s="270"/>
      <c r="O68" s="4"/>
      <c r="P68" s="348">
        <f t="shared" si="7"/>
        <v>4.1008196282209299</v>
      </c>
      <c r="Q68" s="349">
        <f t="shared" si="8"/>
        <v>4.1008196282209299</v>
      </c>
    </row>
    <row r="69" spans="1:17" x14ac:dyDescent="0.3">
      <c r="A69" s="4">
        <v>1</v>
      </c>
      <c r="B69" s="486" t="s">
        <v>155</v>
      </c>
      <c r="C69" s="66" t="s">
        <v>135</v>
      </c>
      <c r="D69" s="260">
        <v>2</v>
      </c>
      <c r="E69" s="249" t="s">
        <v>73</v>
      </c>
      <c r="F69" s="303"/>
      <c r="G69" s="43">
        <f t="shared" si="6"/>
        <v>10.683545962950024</v>
      </c>
      <c r="H69" s="303"/>
      <c r="I69" s="463"/>
      <c r="J69" s="311"/>
      <c r="K69" s="318"/>
      <c r="L69" s="292">
        <f t="shared" si="4"/>
        <v>12.456698097910207</v>
      </c>
      <c r="M69" s="291">
        <f t="shared" si="5"/>
        <v>12.456698097910207</v>
      </c>
      <c r="N69" s="270"/>
      <c r="O69" s="4"/>
      <c r="P69" s="348">
        <f t="shared" si="7"/>
        <v>4.2269644854586241</v>
      </c>
      <c r="Q69" s="349">
        <f t="shared" si="8"/>
        <v>4.2269644854586241</v>
      </c>
    </row>
    <row r="70" spans="1:17" x14ac:dyDescent="0.3">
      <c r="A70" s="4">
        <v>1</v>
      </c>
      <c r="B70" s="486" t="s">
        <v>156</v>
      </c>
      <c r="C70" s="66" t="s">
        <v>136</v>
      </c>
      <c r="D70" s="299"/>
      <c r="E70" s="300"/>
      <c r="F70" s="464"/>
      <c r="G70" s="43">
        <f t="shared" si="6"/>
        <v>10.25178642031263</v>
      </c>
      <c r="H70" s="303"/>
      <c r="I70" s="463"/>
      <c r="J70" s="248">
        <v>1</v>
      </c>
      <c r="K70" s="265" t="s">
        <v>32</v>
      </c>
      <c r="L70" s="289">
        <f t="shared" si="4"/>
        <v>5.3227425478985948</v>
      </c>
      <c r="M70" s="290">
        <f t="shared" si="5"/>
        <v>5.3227425478985948</v>
      </c>
      <c r="N70" s="270"/>
      <c r="O70" s="4"/>
      <c r="P70" s="348">
        <f t="shared" si="7"/>
        <v>4.046808052178374</v>
      </c>
      <c r="Q70" s="349">
        <f t="shared" si="8"/>
        <v>4.046808052178374</v>
      </c>
    </row>
    <row r="71" spans="1:17" x14ac:dyDescent="0.3">
      <c r="A71" s="4">
        <v>1</v>
      </c>
      <c r="B71" s="486" t="s">
        <v>157</v>
      </c>
      <c r="C71" s="66" t="s">
        <v>137</v>
      </c>
      <c r="D71" s="311"/>
      <c r="E71" s="312"/>
      <c r="F71" s="464"/>
      <c r="G71" s="43">
        <f t="shared" si="6"/>
        <v>15.301709264073244</v>
      </c>
      <c r="H71" s="303"/>
      <c r="I71" s="463"/>
      <c r="J71" s="309"/>
      <c r="K71" s="319"/>
      <c r="L71" s="289">
        <f t="shared" si="4"/>
        <v>5.367096671444493</v>
      </c>
      <c r="M71" s="290">
        <f t="shared" si="5"/>
        <v>5.367096671444493</v>
      </c>
      <c r="N71" s="270"/>
      <c r="O71" s="4"/>
      <c r="P71" s="348">
        <f t="shared" si="7"/>
        <v>4.6119256348246829</v>
      </c>
      <c r="Q71" s="349">
        <f t="shared" si="8"/>
        <v>4.6119256348246829</v>
      </c>
    </row>
    <row r="72" spans="1:17" x14ac:dyDescent="0.3">
      <c r="A72" s="4">
        <v>1</v>
      </c>
      <c r="B72" s="486" t="s">
        <v>10</v>
      </c>
      <c r="C72" s="66" t="s">
        <v>138</v>
      </c>
      <c r="D72" s="261">
        <v>1</v>
      </c>
      <c r="E72" s="262" t="s">
        <v>29</v>
      </c>
      <c r="F72" s="464"/>
      <c r="G72" s="43">
        <f>(H23-F23)/F23*100</f>
        <v>23.173173739407861</v>
      </c>
      <c r="H72" s="303"/>
      <c r="I72" s="463"/>
      <c r="J72" s="248">
        <v>1</v>
      </c>
      <c r="K72" s="265" t="s">
        <v>30</v>
      </c>
      <c r="L72" s="292">
        <f t="shared" si="4"/>
        <v>16.801991292686967</v>
      </c>
      <c r="M72" s="291">
        <f t="shared" si="5"/>
        <v>16.801991292686967</v>
      </c>
      <c r="N72" s="270"/>
      <c r="O72" s="4"/>
      <c r="P72" s="348">
        <f t="shared" si="7"/>
        <v>5.0594887038303895</v>
      </c>
      <c r="Q72" s="358">
        <f t="shared" si="8"/>
        <v>5.0594887038303895</v>
      </c>
    </row>
    <row r="73" spans="1:17" x14ac:dyDescent="0.3">
      <c r="A73" s="4">
        <v>1</v>
      </c>
      <c r="B73" s="486" t="s">
        <v>10</v>
      </c>
      <c r="C73" s="66" t="s">
        <v>139</v>
      </c>
      <c r="D73" s="258">
        <v>2</v>
      </c>
      <c r="E73" s="16" t="s">
        <v>30</v>
      </c>
      <c r="F73" s="465"/>
      <c r="G73" s="43">
        <f>(G24-F24)/F24*100</f>
        <v>23.815617785807493</v>
      </c>
      <c r="H73" s="306"/>
      <c r="I73" s="463"/>
      <c r="J73" s="299"/>
      <c r="K73" s="316"/>
      <c r="L73" s="289">
        <f t="shared" si="4"/>
        <v>5.321698332608662</v>
      </c>
      <c r="M73" s="290">
        <f t="shared" si="5"/>
        <v>5.321698332608662</v>
      </c>
      <c r="N73" s="270"/>
      <c r="O73" s="4"/>
      <c r="P73" s="348">
        <f t="shared" si="7"/>
        <v>4.1791474654378078</v>
      </c>
      <c r="Q73" s="349">
        <f t="shared" si="8"/>
        <v>4.1791474654378078</v>
      </c>
    </row>
    <row r="74" spans="1:17" x14ac:dyDescent="0.3">
      <c r="A74" s="4">
        <v>1</v>
      </c>
      <c r="B74" s="486" t="s">
        <v>10</v>
      </c>
      <c r="C74" s="66" t="s">
        <v>140</v>
      </c>
      <c r="D74" s="252">
        <v>1</v>
      </c>
      <c r="E74" s="4" t="s">
        <v>30</v>
      </c>
      <c r="F74" s="464"/>
      <c r="G74" s="43">
        <f>(G25-F25)/F25*100</f>
        <v>23.815617785807493</v>
      </c>
      <c r="H74" s="303"/>
      <c r="I74" s="463"/>
      <c r="J74" s="313"/>
      <c r="K74" s="317"/>
      <c r="L74" s="289">
        <f t="shared" si="4"/>
        <v>5.306531037341883</v>
      </c>
      <c r="M74" s="290">
        <f t="shared" si="5"/>
        <v>5.306531037341883</v>
      </c>
      <c r="N74" s="270"/>
      <c r="O74" s="4"/>
      <c r="P74" s="348">
        <f t="shared" si="7"/>
        <v>5.1812376974410714</v>
      </c>
      <c r="Q74" s="349">
        <f t="shared" si="8"/>
        <v>5.1812376974410714</v>
      </c>
    </row>
    <row r="75" spans="1:17" x14ac:dyDescent="0.3">
      <c r="A75" s="4">
        <v>1</v>
      </c>
      <c r="B75" s="486" t="s">
        <v>10</v>
      </c>
      <c r="C75" s="66" t="s">
        <v>141</v>
      </c>
      <c r="D75" s="309"/>
      <c r="E75" s="310"/>
      <c r="F75" s="464"/>
      <c r="G75" s="43">
        <f>(G26-F26)/F26*100</f>
        <v>25.15212981744423</v>
      </c>
      <c r="H75" s="303"/>
      <c r="I75" s="463"/>
      <c r="J75" s="311"/>
      <c r="K75" s="318"/>
      <c r="L75" s="289">
        <f t="shared" si="4"/>
        <v>5.7213602183818111</v>
      </c>
      <c r="M75" s="290">
        <f t="shared" si="5"/>
        <v>5.7213602183818111</v>
      </c>
      <c r="N75" s="270"/>
      <c r="O75" s="4"/>
      <c r="P75" s="348">
        <f t="shared" si="7"/>
        <v>4.5037002908399879</v>
      </c>
      <c r="Q75" s="349">
        <f t="shared" si="8"/>
        <v>4.5037002908399879</v>
      </c>
    </row>
    <row r="76" spans="1:17" x14ac:dyDescent="0.3">
      <c r="A76" s="4">
        <v>1</v>
      </c>
      <c r="B76" s="486" t="s">
        <v>10</v>
      </c>
      <c r="C76" s="66" t="s">
        <v>142</v>
      </c>
      <c r="D76" s="273">
        <v>2</v>
      </c>
      <c r="E76" s="262" t="s">
        <v>74</v>
      </c>
      <c r="F76" s="303"/>
      <c r="G76" s="43">
        <f>(G27-F27)/F27*100</f>
        <v>25.167107103995022</v>
      </c>
      <c r="H76" s="303"/>
      <c r="I76" s="463"/>
      <c r="J76" s="276">
        <v>1</v>
      </c>
      <c r="K76" s="277" t="s">
        <v>29</v>
      </c>
      <c r="L76" s="292">
        <f t="shared" si="4"/>
        <v>19.916431652289308</v>
      </c>
      <c r="M76" s="291">
        <f t="shared" si="5"/>
        <v>19.916431652289308</v>
      </c>
      <c r="N76" s="270"/>
      <c r="O76" s="4"/>
      <c r="P76" s="348">
        <f t="shared" si="7"/>
        <v>4.6084543088615444</v>
      </c>
      <c r="Q76" s="349">
        <f t="shared" si="8"/>
        <v>4.6084543088615444</v>
      </c>
    </row>
    <row r="77" spans="1:17" x14ac:dyDescent="0.3">
      <c r="A77" s="4">
        <v>1</v>
      </c>
      <c r="B77" s="486" t="s">
        <v>158</v>
      </c>
      <c r="C77" s="66" t="s">
        <v>143</v>
      </c>
      <c r="D77" s="313"/>
      <c r="E77" s="459"/>
      <c r="F77" s="464"/>
      <c r="G77" s="43">
        <f>(G28-F28)/F28*100</f>
        <v>19.300554881023967</v>
      </c>
      <c r="H77" s="303"/>
      <c r="I77" s="463"/>
      <c r="J77" s="309"/>
      <c r="K77" s="319"/>
      <c r="L77" s="289">
        <f t="shared" si="4"/>
        <v>5.3237642278738324</v>
      </c>
      <c r="M77" s="290">
        <f t="shared" si="5"/>
        <v>5.3237642278738324</v>
      </c>
      <c r="N77" s="270"/>
      <c r="O77" s="4"/>
      <c r="P77" s="348">
        <f t="shared" si="7"/>
        <v>4.4877283748095902</v>
      </c>
      <c r="Q77" s="349">
        <f t="shared" si="8"/>
        <v>4.4877283748095902</v>
      </c>
    </row>
    <row r="78" spans="1:17" x14ac:dyDescent="0.3">
      <c r="A78" s="4">
        <v>1</v>
      </c>
      <c r="B78" s="486" t="s">
        <v>10</v>
      </c>
      <c r="C78" s="66" t="s">
        <v>144</v>
      </c>
      <c r="D78" s="313"/>
      <c r="E78" s="459"/>
      <c r="F78" s="464"/>
      <c r="G78" s="43">
        <f>(H29-F29)/F29*100</f>
        <v>24.632491519035064</v>
      </c>
      <c r="H78" s="303"/>
      <c r="I78" s="463"/>
      <c r="J78" s="248">
        <v>2</v>
      </c>
      <c r="K78" s="265" t="s">
        <v>77</v>
      </c>
      <c r="L78" s="292">
        <f t="shared" si="4"/>
        <v>5.5516911134633737</v>
      </c>
      <c r="M78" s="291">
        <f t="shared" si="5"/>
        <v>5.5516911134633737</v>
      </c>
      <c r="N78" s="270"/>
      <c r="O78" s="4"/>
      <c r="P78" s="348">
        <f t="shared" si="7"/>
        <v>4.2912265286241018</v>
      </c>
      <c r="Q78" s="358">
        <f t="shared" si="8"/>
        <v>4.2912265286241018</v>
      </c>
    </row>
    <row r="79" spans="1:17" x14ac:dyDescent="0.3">
      <c r="A79" s="4">
        <v>1</v>
      </c>
      <c r="B79" s="486" t="s">
        <v>10</v>
      </c>
      <c r="C79" s="66" t="s">
        <v>145</v>
      </c>
      <c r="D79" s="313"/>
      <c r="E79" s="459"/>
      <c r="F79" s="304"/>
      <c r="G79" s="293">
        <f>(H30-F30)/F30*100</f>
        <v>24.635004397537386</v>
      </c>
      <c r="H79" s="303"/>
      <c r="I79" s="463"/>
      <c r="J79" s="299"/>
      <c r="K79" s="316"/>
      <c r="L79" s="289">
        <f t="shared" si="4"/>
        <v>5.5334334707702721</v>
      </c>
      <c r="M79" s="290">
        <f t="shared" si="5"/>
        <v>5.5334334707702721</v>
      </c>
      <c r="N79" s="270"/>
      <c r="O79" s="4"/>
      <c r="P79" s="348">
        <f t="shared" si="7"/>
        <v>4.2775538276369529</v>
      </c>
      <c r="Q79" s="358">
        <f t="shared" si="8"/>
        <v>4.2775538276369529</v>
      </c>
    </row>
    <row r="80" spans="1:17" x14ac:dyDescent="0.3">
      <c r="A80" s="4">
        <v>1</v>
      </c>
      <c r="B80" s="486" t="s">
        <v>159</v>
      </c>
      <c r="C80" s="66" t="s">
        <v>146</v>
      </c>
      <c r="D80" s="313"/>
      <c r="E80" s="459"/>
      <c r="F80" s="304"/>
      <c r="G80" s="293">
        <f t="shared" ref="G80:G86" si="9">(G31-F31)/F31*100</f>
        <v>24.160586426407352</v>
      </c>
      <c r="H80" s="303"/>
      <c r="I80" s="463"/>
      <c r="J80" s="313"/>
      <c r="K80" s="317"/>
      <c r="L80" s="289">
        <f t="shared" si="4"/>
        <v>5.3067328032679519</v>
      </c>
      <c r="M80" s="290">
        <f t="shared" si="5"/>
        <v>5.3067328032679519</v>
      </c>
      <c r="N80" s="271"/>
      <c r="O80" s="51"/>
      <c r="P80" s="348">
        <f t="shared" si="7"/>
        <v>4.2254008935683816</v>
      </c>
      <c r="Q80" s="349">
        <f t="shared" si="8"/>
        <v>4.2254008935683816</v>
      </c>
    </row>
    <row r="81" spans="1:18" x14ac:dyDescent="0.3">
      <c r="A81" s="4">
        <v>1</v>
      </c>
      <c r="B81" s="486" t="s">
        <v>10</v>
      </c>
      <c r="C81" s="66" t="s">
        <v>163</v>
      </c>
      <c r="D81" s="313"/>
      <c r="E81" s="459"/>
      <c r="F81" s="304"/>
      <c r="G81" s="293">
        <f t="shared" si="9"/>
        <v>24.160586426407352</v>
      </c>
      <c r="H81" s="303"/>
      <c r="I81" s="463"/>
      <c r="J81" s="311"/>
      <c r="K81" s="318"/>
      <c r="L81" s="512">
        <f t="shared" si="4"/>
        <v>5.3067328032679519</v>
      </c>
      <c r="M81" s="513">
        <f t="shared" si="5"/>
        <v>5.3067328032679519</v>
      </c>
      <c r="N81" s="243"/>
      <c r="O81" s="243"/>
      <c r="P81" s="359"/>
      <c r="Q81" s="360"/>
    </row>
    <row r="82" spans="1:18" x14ac:dyDescent="0.3">
      <c r="A82" s="4">
        <v>1</v>
      </c>
      <c r="B82" s="486" t="s">
        <v>160</v>
      </c>
      <c r="C82" s="66" t="s">
        <v>147</v>
      </c>
      <c r="D82" s="273">
        <v>2</v>
      </c>
      <c r="E82" s="262" t="s">
        <v>29</v>
      </c>
      <c r="F82" s="301"/>
      <c r="G82" s="293">
        <f t="shared" si="9"/>
        <v>22.199028129491481</v>
      </c>
      <c r="H82" s="303"/>
      <c r="I82" s="463"/>
      <c r="J82" s="263">
        <v>2</v>
      </c>
      <c r="K82" s="266" t="s">
        <v>77</v>
      </c>
      <c r="L82" s="292">
        <f t="shared" si="4"/>
        <v>18.98907485540251</v>
      </c>
      <c r="M82" s="291">
        <f t="shared" si="5"/>
        <v>18.98907485540251</v>
      </c>
      <c r="N82" s="272"/>
      <c r="O82" s="38"/>
      <c r="P82" s="370">
        <f>(P33-L33)/L33*100</f>
        <v>15.313964102156227</v>
      </c>
      <c r="Q82" s="361">
        <f>(Q33-M33)/M33*100</f>
        <v>42.989315486673718</v>
      </c>
    </row>
    <row r="83" spans="1:18" x14ac:dyDescent="0.3">
      <c r="A83" s="4">
        <v>1</v>
      </c>
      <c r="B83" s="486" t="s">
        <v>10</v>
      </c>
      <c r="C83" s="66" t="s">
        <v>164</v>
      </c>
      <c r="D83" s="269">
        <v>1</v>
      </c>
      <c r="E83" s="4" t="s">
        <v>30</v>
      </c>
      <c r="F83" s="301"/>
      <c r="G83" s="293">
        <f t="shared" si="9"/>
        <v>31.604109093877181</v>
      </c>
      <c r="H83" s="303"/>
      <c r="I83" s="463"/>
      <c r="J83" s="309"/>
      <c r="K83" s="319"/>
      <c r="L83" s="512">
        <f t="shared" si="4"/>
        <v>5.7576376372821594</v>
      </c>
      <c r="M83" s="513">
        <f t="shared" si="5"/>
        <v>5.7576376372821594</v>
      </c>
      <c r="N83" s="255"/>
      <c r="O83" s="255"/>
      <c r="P83" s="362"/>
      <c r="Q83" s="363"/>
    </row>
    <row r="84" spans="1:18" x14ac:dyDescent="0.3">
      <c r="A84" s="4">
        <v>1</v>
      </c>
      <c r="B84" s="486" t="s">
        <v>10</v>
      </c>
      <c r="C84" s="66" t="s">
        <v>165</v>
      </c>
      <c r="D84" s="309"/>
      <c r="E84" s="310"/>
      <c r="F84" s="464"/>
      <c r="G84" s="43">
        <f t="shared" si="9"/>
        <v>33.357373721184928</v>
      </c>
      <c r="H84" s="303"/>
      <c r="I84" s="463"/>
      <c r="J84" s="263">
        <v>1</v>
      </c>
      <c r="K84" s="266" t="s">
        <v>29</v>
      </c>
      <c r="L84" s="512">
        <f t="shared" si="4"/>
        <v>5.7623205861688325</v>
      </c>
      <c r="M84" s="513">
        <f t="shared" si="5"/>
        <v>5.7623205861688325</v>
      </c>
      <c r="N84" s="247"/>
      <c r="O84" s="247"/>
      <c r="P84" s="347"/>
      <c r="Q84" s="364"/>
    </row>
    <row r="85" spans="1:18" x14ac:dyDescent="0.3">
      <c r="A85" s="4">
        <v>1</v>
      </c>
      <c r="B85" s="486" t="s">
        <v>10</v>
      </c>
      <c r="C85" s="66" t="s">
        <v>166</v>
      </c>
      <c r="D85" s="258">
        <v>1</v>
      </c>
      <c r="E85" s="16" t="s">
        <v>30</v>
      </c>
      <c r="F85" s="302"/>
      <c r="G85" s="293">
        <f t="shared" si="9"/>
        <v>37.984810258957623</v>
      </c>
      <c r="H85" s="306"/>
      <c r="I85" s="463"/>
      <c r="J85" s="299"/>
      <c r="K85" s="316"/>
      <c r="L85" s="512">
        <f t="shared" si="4"/>
        <v>5.5614983386502619</v>
      </c>
      <c r="M85" s="513">
        <f t="shared" si="5"/>
        <v>5.5614983386502619</v>
      </c>
      <c r="N85" s="247"/>
      <c r="O85" s="296"/>
      <c r="P85" s="347"/>
      <c r="Q85" s="364"/>
    </row>
    <row r="86" spans="1:18" ht="15" thickBot="1" x14ac:dyDescent="0.35">
      <c r="A86" s="4">
        <v>1</v>
      </c>
      <c r="B86" s="486" t="s">
        <v>10</v>
      </c>
      <c r="C86" s="66" t="s">
        <v>167</v>
      </c>
      <c r="D86" s="314"/>
      <c r="E86" s="315"/>
      <c r="F86" s="305"/>
      <c r="G86" s="294">
        <f t="shared" si="9"/>
        <v>37.926493995080307</v>
      </c>
      <c r="H86" s="307"/>
      <c r="I86" s="466"/>
      <c r="J86" s="314"/>
      <c r="K86" s="320"/>
      <c r="L86" s="514">
        <f t="shared" si="4"/>
        <v>5.614042446103511</v>
      </c>
      <c r="M86" s="515">
        <f t="shared" si="5"/>
        <v>5.614042446103511</v>
      </c>
      <c r="N86" s="283"/>
      <c r="O86" s="297"/>
      <c r="P86" s="365"/>
      <c r="Q86" s="366"/>
    </row>
    <row r="87" spans="1:18" x14ac:dyDescent="0.3">
      <c r="A87" s="23">
        <f>SUM(A52:A86)</f>
        <v>35</v>
      </c>
      <c r="E87" s="57"/>
      <c r="F87" s="57"/>
      <c r="G87" s="295"/>
      <c r="H87" s="57"/>
      <c r="O87"/>
    </row>
    <row r="88" spans="1:18" x14ac:dyDescent="0.3">
      <c r="D88" s="368"/>
      <c r="E88" s="57"/>
      <c r="F88" s="57"/>
      <c r="G88" s="295"/>
      <c r="H88" s="57"/>
      <c r="O88"/>
    </row>
    <row r="89" spans="1:18" ht="15" customHeight="1" x14ac:dyDescent="0.3">
      <c r="A89" s="875" t="s">
        <v>99</v>
      </c>
      <c r="B89" s="394" t="s">
        <v>102</v>
      </c>
      <c r="E89" s="368"/>
      <c r="F89" s="369">
        <f t="shared" ref="F89" si="10">SUM(F62:F86)</f>
        <v>0</v>
      </c>
      <c r="G89" s="490">
        <f>AVERAGE(G64:G86)</f>
        <v>21.924089945386584</v>
      </c>
      <c r="H89"/>
      <c r="I89"/>
      <c r="K89" s="442"/>
      <c r="L89" s="437">
        <f>AVERAGE(L64:L86)</f>
        <v>7.7581541182610207</v>
      </c>
      <c r="M89" s="437">
        <f>AVERAGE(M64:M86)</f>
        <v>7.7581541182610207</v>
      </c>
      <c r="N89" s="442"/>
      <c r="O89" s="447"/>
      <c r="P89" s="437">
        <f>AVERAGE(P62:P64,P66:P80,P82)</f>
        <v>5.3307030293465756</v>
      </c>
      <c r="Q89" s="437">
        <f>AVERAGE(Q62:Q64,Q66:Q80,Q82)</f>
        <v>6.4136867273823102</v>
      </c>
    </row>
    <row r="90" spans="1:18" x14ac:dyDescent="0.3">
      <c r="A90" s="875"/>
      <c r="B90" s="394" t="s">
        <v>103</v>
      </c>
      <c r="E90" s="368"/>
      <c r="F90" s="369"/>
      <c r="G90" s="490">
        <f>AVERAGE(G64:G86)</f>
        <v>21.924089945386584</v>
      </c>
      <c r="H90"/>
      <c r="I90"/>
      <c r="K90" s="442"/>
      <c r="L90" s="437">
        <f>AVERAGE(L62:L64,L66:L80,L82)</f>
        <v>8.1949657444432997</v>
      </c>
      <c r="M90" s="437">
        <f>AVERAGE(M62:M64,M66:M80,M82)</f>
        <v>9.5292123594269231</v>
      </c>
      <c r="N90" s="442"/>
      <c r="O90" s="447"/>
      <c r="P90" s="490">
        <f>AVERAGE(P52:P64,P66:P80,P82)</f>
        <v>4.9083697483933335</v>
      </c>
      <c r="Q90" s="490">
        <f>AVERAGE(Q52:Q64,Q66:Q80,Q82)</f>
        <v>5.6179107919339879</v>
      </c>
    </row>
    <row r="91" spans="1:18" x14ac:dyDescent="0.3">
      <c r="A91" s="875"/>
      <c r="B91" s="394" t="s">
        <v>101</v>
      </c>
      <c r="G91" s="367">
        <f>AVERAGE(G64:G86)</f>
        <v>21.924089945386584</v>
      </c>
      <c r="H91"/>
      <c r="I91"/>
      <c r="K91" s="442"/>
      <c r="L91" s="437">
        <f>AVERAGE(L62:L86)</f>
        <v>7.5832942086418731</v>
      </c>
      <c r="M91" s="437">
        <f>AVERAGE(M62:M86)</f>
        <v>8.5973216360294273</v>
      </c>
      <c r="N91" s="442"/>
      <c r="O91" s="447"/>
      <c r="P91" s="437">
        <f>AVERAGE(P52:P86)</f>
        <v>4.9083697483933335</v>
      </c>
      <c r="Q91" s="437">
        <f>AVERAGE(Q52:Q86)</f>
        <v>5.6179107919339879</v>
      </c>
    </row>
    <row r="92" spans="1:18" x14ac:dyDescent="0.3">
      <c r="A92" s="492"/>
      <c r="B92" s="34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 s="442"/>
    </row>
    <row r="93" spans="1:18" ht="14.25" customHeight="1" x14ac:dyDescent="0.3">
      <c r="A93" s="876" t="s">
        <v>96</v>
      </c>
      <c r="B93" s="394" t="s">
        <v>98</v>
      </c>
      <c r="C93" s="487"/>
      <c r="F93" s="39"/>
      <c r="H93" s="16">
        <f>SUM(D52:D86)</f>
        <v>16</v>
      </c>
      <c r="L93" s="16">
        <f>SUM(J52:J86)</f>
        <v>13</v>
      </c>
      <c r="P93" s="16">
        <f>SUM(N53:N86)</f>
        <v>1</v>
      </c>
    </row>
    <row r="94" spans="1:18" ht="15" customHeight="1" x14ac:dyDescent="0.3">
      <c r="A94" s="876"/>
      <c r="B94" s="394" t="s">
        <v>92</v>
      </c>
      <c r="F94" s="16">
        <f>SUM(A15:A37)</f>
        <v>23</v>
      </c>
      <c r="G94" s="442"/>
      <c r="H94" s="16">
        <f>SUM(A13:A37)</f>
        <v>25</v>
      </c>
      <c r="I94" s="442"/>
      <c r="J94" s="442"/>
      <c r="K94" s="442"/>
      <c r="L94" s="16">
        <f>SUM(A4:A15)+SUM(A17:A31)+A33</f>
        <v>28</v>
      </c>
      <c r="M94" s="442"/>
      <c r="N94" s="442"/>
      <c r="O94" s="442"/>
      <c r="P94" s="16">
        <f>SUM(A3:A15)+SUM(A17:A31)+A33</f>
        <v>29</v>
      </c>
    </row>
    <row r="95" spans="1:18" ht="15.75" customHeight="1" x14ac:dyDescent="0.3">
      <c r="A95" s="876"/>
      <c r="B95" s="394" t="s">
        <v>91</v>
      </c>
      <c r="F95" s="16">
        <f>SUM(A15:A37)</f>
        <v>23</v>
      </c>
      <c r="G95" s="442"/>
      <c r="H95" s="16">
        <f>SUM(A13:A37)</f>
        <v>25</v>
      </c>
      <c r="I95" s="442"/>
      <c r="J95" s="442"/>
      <c r="K95" s="442"/>
      <c r="L95" s="16">
        <f>SUM(A4:A37)</f>
        <v>34</v>
      </c>
      <c r="M95" s="442"/>
      <c r="N95" s="442"/>
      <c r="O95" s="442"/>
      <c r="P95" s="16">
        <f>SUM(A3:A15)+SUM(A17:A31)+A33</f>
        <v>29</v>
      </c>
    </row>
    <row r="96" spans="1:18" ht="15.75" customHeight="1" x14ac:dyDescent="0.3">
      <c r="A96" s="876"/>
      <c r="B96" s="394" t="s">
        <v>97</v>
      </c>
      <c r="F96" s="4">
        <v>0</v>
      </c>
      <c r="H96" s="43">
        <f>(H94-F94)/F94*100</f>
        <v>8.695652173913043</v>
      </c>
      <c r="L96" s="4">
        <f>(L94-H94)/H94*100</f>
        <v>12</v>
      </c>
      <c r="P96" s="437">
        <f>(P94-L94)/L94*100</f>
        <v>3.5714285714285712</v>
      </c>
    </row>
    <row r="99" spans="1:10" x14ac:dyDescent="0.3">
      <c r="B99" s="32"/>
      <c r="J99" s="34"/>
    </row>
    <row r="100" spans="1:10" x14ac:dyDescent="0.3">
      <c r="B100" s="45"/>
      <c r="J100" s="34"/>
    </row>
    <row r="101" spans="1:10" ht="15.75" customHeight="1" x14ac:dyDescent="0.3">
      <c r="A101" s="491"/>
      <c r="B101" s="45"/>
    </row>
    <row r="102" spans="1:10" x14ac:dyDescent="0.3">
      <c r="B102" s="45"/>
    </row>
    <row r="104" spans="1:10" x14ac:dyDescent="0.3">
      <c r="C104" s="34"/>
      <c r="E104" s="34"/>
    </row>
    <row r="105" spans="1:10" x14ac:dyDescent="0.3">
      <c r="C105" s="34"/>
      <c r="E105" s="34"/>
    </row>
    <row r="106" spans="1:10" x14ac:dyDescent="0.3">
      <c r="C106" s="34"/>
    </row>
    <row r="107" spans="1:10" x14ac:dyDescent="0.3">
      <c r="C107" s="34"/>
    </row>
    <row r="108" spans="1:10" x14ac:dyDescent="0.3">
      <c r="C108" s="34"/>
    </row>
  </sheetData>
  <mergeCells count="10">
    <mergeCell ref="N1:Q1"/>
    <mergeCell ref="D1:I1"/>
    <mergeCell ref="D50:I50"/>
    <mergeCell ref="J50:M50"/>
    <mergeCell ref="N50:Q50"/>
    <mergeCell ref="A89:A91"/>
    <mergeCell ref="A93:A96"/>
    <mergeCell ref="A40:A48"/>
    <mergeCell ref="B50:C50"/>
    <mergeCell ref="J1:M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F5C3-984F-4517-8964-CF560DC6626A}">
  <dimension ref="A1:R69"/>
  <sheetViews>
    <sheetView zoomScale="90" zoomScaleNormal="90" workbookViewId="0">
      <pane xSplit="3" topLeftCell="J1" activePane="topRight" state="frozen"/>
      <selection pane="topRight" activeCell="N3" sqref="N3:O16"/>
    </sheetView>
  </sheetViews>
  <sheetFormatPr baseColWidth="10" defaultColWidth="11.44140625" defaultRowHeight="14.4" x14ac:dyDescent="0.3"/>
  <cols>
    <col min="1" max="1" width="3.44140625" style="2" bestFit="1" customWidth="1"/>
    <col min="2" max="2" width="25.44140625" style="2" customWidth="1"/>
    <col min="3" max="3" width="15.109375" style="2" bestFit="1" customWidth="1"/>
    <col min="4" max="4" width="12" style="2" bestFit="1" customWidth="1"/>
    <col min="5" max="5" width="11.44140625" style="2" bestFit="1" customWidth="1"/>
    <col min="6" max="6" width="14.44140625" style="2" customWidth="1"/>
    <col min="7" max="7" width="12" style="2" customWidth="1"/>
    <col min="8" max="8" width="12.5546875" style="2" bestFit="1" customWidth="1"/>
    <col min="9" max="9" width="11.88671875" style="2" customWidth="1"/>
    <col min="10" max="10" width="12" style="2" bestFit="1" customWidth="1"/>
    <col min="11" max="11" width="11.109375" style="2" bestFit="1" customWidth="1"/>
    <col min="12" max="13" width="12" style="2" bestFit="1" customWidth="1"/>
    <col min="14" max="14" width="9.6640625" style="2" customWidth="1"/>
    <col min="15" max="15" width="9.44140625" style="2" bestFit="1" customWidth="1"/>
    <col min="16" max="16" width="12.6640625" style="2" bestFit="1" customWidth="1"/>
    <col min="17" max="17" width="12.5546875" style="2" customWidth="1"/>
    <col min="18" max="16384" width="11.44140625" style="2"/>
  </cols>
  <sheetData>
    <row r="1" spans="1:17" x14ac:dyDescent="0.3">
      <c r="D1" s="882">
        <v>2024</v>
      </c>
      <c r="E1" s="883"/>
      <c r="F1" s="884"/>
      <c r="G1" s="884"/>
      <c r="H1" s="884"/>
      <c r="I1" s="885"/>
      <c r="J1" s="882">
        <v>2025</v>
      </c>
      <c r="K1" s="883"/>
      <c r="L1" s="884"/>
      <c r="M1" s="885"/>
      <c r="N1" s="882">
        <v>2026</v>
      </c>
      <c r="O1" s="883"/>
      <c r="P1" s="884"/>
      <c r="Q1" s="885"/>
    </row>
    <row r="2" spans="1:17" ht="32.25" customHeight="1" x14ac:dyDescent="0.3">
      <c r="B2" s="65" t="s">
        <v>18</v>
      </c>
      <c r="C2" s="65" t="s">
        <v>19</v>
      </c>
      <c r="D2" s="68" t="s">
        <v>24</v>
      </c>
      <c r="E2" s="10" t="s">
        <v>37</v>
      </c>
      <c r="F2" s="14" t="s">
        <v>67</v>
      </c>
      <c r="G2" s="14" t="s">
        <v>68</v>
      </c>
      <c r="H2" s="14" t="s">
        <v>65</v>
      </c>
      <c r="I2" s="94" t="s">
        <v>66</v>
      </c>
      <c r="J2" s="200" t="s">
        <v>24</v>
      </c>
      <c r="K2" s="201" t="s">
        <v>37</v>
      </c>
      <c r="L2" s="199" t="s">
        <v>65</v>
      </c>
      <c r="M2" s="165" t="s">
        <v>66</v>
      </c>
      <c r="N2" s="200" t="s">
        <v>24</v>
      </c>
      <c r="O2" s="201" t="s">
        <v>37</v>
      </c>
      <c r="P2" s="167" t="s">
        <v>65</v>
      </c>
      <c r="Q2" s="94" t="s">
        <v>66</v>
      </c>
    </row>
    <row r="3" spans="1:17" x14ac:dyDescent="0.3">
      <c r="A3" s="4">
        <v>1</v>
      </c>
      <c r="B3" s="67" t="s">
        <v>148</v>
      </c>
      <c r="C3" s="67">
        <v>96</v>
      </c>
      <c r="D3" s="82"/>
      <c r="E3" s="61"/>
      <c r="F3" s="61"/>
      <c r="G3" s="61"/>
      <c r="H3" s="61"/>
      <c r="I3" s="83"/>
      <c r="J3" s="890">
        <f>'[1]AUTO 2025'!V3</f>
        <v>194.16</v>
      </c>
      <c r="K3" s="7">
        <f>'[1]AUTO 2025'!W3</f>
        <v>0</v>
      </c>
      <c r="L3" s="430">
        <f>'AUTO 2025'!Q3</f>
        <v>1430.4</v>
      </c>
      <c r="M3" s="431">
        <f>L3*'AUTO 2025'!AA3</f>
        <v>715.2</v>
      </c>
      <c r="N3" s="69"/>
      <c r="O3" s="7"/>
      <c r="P3" s="194">
        <f>'AUTO 2026'!AC4</f>
        <v>1505.3</v>
      </c>
      <c r="Q3" s="70">
        <f>'AUTO 2026'!AD4</f>
        <v>752.65</v>
      </c>
    </row>
    <row r="4" spans="1:17" x14ac:dyDescent="0.3">
      <c r="A4" s="4">
        <v>1</v>
      </c>
      <c r="B4" s="485" t="s">
        <v>149</v>
      </c>
      <c r="C4" s="67" t="s">
        <v>127</v>
      </c>
      <c r="D4" s="84"/>
      <c r="E4" s="195"/>
      <c r="F4" s="195"/>
      <c r="G4" s="195"/>
      <c r="H4" s="62"/>
      <c r="I4" s="89"/>
      <c r="J4" s="889">
        <f>'[1]AUTO 2025'!V10</f>
        <v>4602</v>
      </c>
      <c r="K4" s="7">
        <f>'[1]AUTO 2025'!W10</f>
        <v>658</v>
      </c>
      <c r="L4" s="47">
        <f>'AUTO 2025'!Q10</f>
        <v>2251.36</v>
      </c>
      <c r="M4" s="75">
        <f>L4*'AUTO 2025'!AA10</f>
        <v>1125.68</v>
      </c>
      <c r="N4" s="69"/>
      <c r="O4" s="7"/>
      <c r="P4" s="194">
        <f>'AUTO 2026'!AC11</f>
        <v>2530.38</v>
      </c>
      <c r="Q4" s="70">
        <f>'AUTO 2026'!AD11</f>
        <v>1265.19</v>
      </c>
    </row>
    <row r="5" spans="1:17" x14ac:dyDescent="0.3">
      <c r="A5" s="4">
        <v>1</v>
      </c>
      <c r="B5" s="486" t="s">
        <v>150</v>
      </c>
      <c r="C5" s="66" t="s">
        <v>129</v>
      </c>
      <c r="D5" s="452"/>
      <c r="E5" s="195"/>
      <c r="F5" s="195"/>
      <c r="G5" s="440"/>
      <c r="H5" s="427">
        <f>'AUTO 2024'!AC3</f>
        <v>2155.9</v>
      </c>
      <c r="I5" s="428">
        <f>H5*'AUTO 2024'!AA3</f>
        <v>1077.95</v>
      </c>
      <c r="J5" s="889">
        <f>'[1]AUTO 2025'!V12</f>
        <v>0</v>
      </c>
      <c r="K5" s="7">
        <f>'[1]AUTO 2025'!W12</f>
        <v>658</v>
      </c>
      <c r="L5" s="60">
        <f>'AUTO 2025'!AC12</f>
        <v>2274.84</v>
      </c>
      <c r="M5" s="73">
        <f>'AUTO 2025'!AD12</f>
        <v>1137.42</v>
      </c>
      <c r="N5" s="69"/>
      <c r="O5" s="7"/>
      <c r="P5" s="194">
        <f>'AUTO 2026'!AC13</f>
        <v>2383.36</v>
      </c>
      <c r="Q5" s="70">
        <f>'AUTO 2026'!AD13</f>
        <v>1191.68</v>
      </c>
    </row>
    <row r="6" spans="1:17" x14ac:dyDescent="0.3">
      <c r="A6" s="4">
        <v>1</v>
      </c>
      <c r="B6" s="486" t="s">
        <v>151</v>
      </c>
      <c r="C6" s="66" t="s">
        <v>130</v>
      </c>
      <c r="D6" s="887">
        <f>SUM('[1]AUTO 2024'!V4:V6)</f>
        <v>4727.07</v>
      </c>
      <c r="E6" s="7">
        <f>SUM('[1]AUTO 2024'!W4:W6)</f>
        <v>624</v>
      </c>
      <c r="F6" s="449"/>
      <c r="G6" s="441"/>
      <c r="H6" s="429">
        <f>SUM('AUTO 2024'!AC4:AC6)</f>
        <v>2044.06</v>
      </c>
      <c r="I6" s="71">
        <f>H6*'AUTO 2024'!AA4</f>
        <v>1022.03</v>
      </c>
      <c r="J6" s="327"/>
      <c r="K6" s="332"/>
      <c r="L6" s="60">
        <f>'AUTO 2025'!AC13</f>
        <v>2159.0967741935488</v>
      </c>
      <c r="M6" s="73">
        <f>'AUTO 2025'!AD13</f>
        <v>1338.64</v>
      </c>
      <c r="N6" s="69"/>
      <c r="O6" s="7"/>
      <c r="P6" s="194">
        <f>'AUTO 2026'!AC14</f>
        <v>2375.6379310344828</v>
      </c>
      <c r="Q6" s="70">
        <f>'AUTO 2026'!AD14</f>
        <v>1377.87</v>
      </c>
    </row>
    <row r="7" spans="1:17" x14ac:dyDescent="0.3">
      <c r="A7" s="4">
        <v>1</v>
      </c>
      <c r="B7" s="486" t="s">
        <v>152</v>
      </c>
      <c r="C7" s="66" t="s">
        <v>131</v>
      </c>
      <c r="D7" s="888">
        <f>SUM('[1]AUTO 2024'!V7:V8)</f>
        <v>164.23</v>
      </c>
      <c r="E7" s="7">
        <f>SUM('[1]AUTO 2024'!W7:W8)</f>
        <v>0</v>
      </c>
      <c r="F7" s="93">
        <f>'AUTO 2024'!Q7</f>
        <v>1738.76</v>
      </c>
      <c r="G7" s="93">
        <f>'AUTO 2024'!Q8</f>
        <v>1918.46</v>
      </c>
      <c r="H7" s="60">
        <f>SUM('AUTO 2024'!AC7:AC8)</f>
        <v>1925.76</v>
      </c>
      <c r="I7" s="70">
        <f>SUM('AUTO 2024'!AD7:AD8)</f>
        <v>962.88</v>
      </c>
      <c r="J7" s="330"/>
      <c r="K7" s="331"/>
      <c r="L7" s="60">
        <f>'AUTO 2025'!AC14</f>
        <v>2038.46</v>
      </c>
      <c r="M7" s="73">
        <f>'AUTO 2025'!AD14</f>
        <v>1019.23</v>
      </c>
      <c r="N7" s="890">
        <f>'[1]AUTO 2026'!V15</f>
        <v>0</v>
      </c>
      <c r="O7" s="7">
        <f>'[1]AUTO 2026'!W15</f>
        <v>0</v>
      </c>
      <c r="P7" s="95">
        <f>'AUTO 2026'!AC15</f>
        <v>2144.58</v>
      </c>
      <c r="Q7" s="77">
        <f>'AUTO 2026'!AD15</f>
        <v>1072.29</v>
      </c>
    </row>
    <row r="8" spans="1:17" x14ac:dyDescent="0.3">
      <c r="A8" s="4">
        <v>1</v>
      </c>
      <c r="B8" s="67" t="s">
        <v>169</v>
      </c>
      <c r="C8" s="67" t="s">
        <v>162</v>
      </c>
      <c r="D8" s="338"/>
      <c r="E8" s="339"/>
      <c r="F8" s="203">
        <f>'AUTO 2024'!Q9</f>
        <v>1711.25</v>
      </c>
      <c r="G8" s="182">
        <f>'AUTO 2024'!Q10</f>
        <v>2097.2600000000002</v>
      </c>
      <c r="H8" s="182">
        <f>SUM('AUTO 2024'!AC9:AC10)</f>
        <v>2092.3200000000002</v>
      </c>
      <c r="I8" s="73">
        <f>SUM('AUTO 2024'!AD9:AD10)</f>
        <v>1046.1600000000001</v>
      </c>
      <c r="J8" s="330"/>
      <c r="K8" s="333"/>
      <c r="L8" s="438">
        <f>'AUTO 2025'!AC15</f>
        <v>2215.2600000000002</v>
      </c>
      <c r="M8" s="222">
        <f>'AUTO 2025'!AD15</f>
        <v>1107.6300000000001</v>
      </c>
      <c r="N8" s="82"/>
      <c r="O8" s="61"/>
      <c r="P8" s="243"/>
      <c r="Q8" s="267"/>
    </row>
    <row r="9" spans="1:17" x14ac:dyDescent="0.3">
      <c r="A9" s="4">
        <v>1</v>
      </c>
      <c r="B9" s="66" t="s">
        <v>153</v>
      </c>
      <c r="C9" s="66" t="s">
        <v>132</v>
      </c>
      <c r="D9" s="887">
        <f>SUM('[1]AUTO 2024'!V11:V12)</f>
        <v>613.25</v>
      </c>
      <c r="E9" s="7">
        <f>SUM('[1]AUTO 2024'!W11:W12)</f>
        <v>0</v>
      </c>
      <c r="F9" s="60">
        <f>'AUTO 2024'!Q11</f>
        <v>1905.54</v>
      </c>
      <c r="G9" s="60">
        <f>'AUTO 2024'!Q12</f>
        <v>2122.14</v>
      </c>
      <c r="H9" s="60">
        <f>SUM('AUTO 2024'!AC11:AC12)</f>
        <v>2118.04</v>
      </c>
      <c r="I9" s="70">
        <f>SUM('AUTO 2024'!AD11:AD12)</f>
        <v>1059.02</v>
      </c>
      <c r="J9" s="330"/>
      <c r="K9" s="333"/>
      <c r="L9" s="60">
        <f>'AUTO 2025'!AC17</f>
        <v>2239.66</v>
      </c>
      <c r="M9" s="70">
        <f>'AUTO 2025'!AD17</f>
        <v>1119.83</v>
      </c>
      <c r="N9" s="69"/>
      <c r="O9" s="7"/>
      <c r="P9" s="202">
        <f>'AUTO 2026'!AC16</f>
        <v>2331.16</v>
      </c>
      <c r="Q9" s="92">
        <f>'AUTO 2026'!AD16</f>
        <v>1165.58</v>
      </c>
    </row>
    <row r="10" spans="1:17" x14ac:dyDescent="0.3">
      <c r="A10" s="4">
        <v>1</v>
      </c>
      <c r="B10" s="486" t="s">
        <v>154</v>
      </c>
      <c r="C10" s="66" t="s">
        <v>134</v>
      </c>
      <c r="D10" s="321"/>
      <c r="E10" s="322"/>
      <c r="F10" s="7">
        <f>'AUTO 2024'!Q15</f>
        <v>1906.38</v>
      </c>
      <c r="G10" s="60">
        <f>'AUTO 2024'!Q16</f>
        <v>2122.5</v>
      </c>
      <c r="H10" s="60">
        <f>SUM('AUTO 2024'!AC15:AC16)</f>
        <v>2118.54</v>
      </c>
      <c r="I10" s="70">
        <f>SUM('AUTO 2024'!AD15:AD16)</f>
        <v>1059.27</v>
      </c>
      <c r="J10" s="330"/>
      <c r="K10" s="333"/>
      <c r="L10" s="60">
        <f>'AUTO 2025'!AC19</f>
        <v>2240.04</v>
      </c>
      <c r="M10" s="70">
        <f>'AUTO 2025'!AD19</f>
        <v>1120.02</v>
      </c>
      <c r="N10" s="69"/>
      <c r="O10" s="7"/>
      <c r="P10" s="194">
        <f>'AUTO 2026'!AC18</f>
        <v>2331.9</v>
      </c>
      <c r="Q10" s="70">
        <f>'AUTO 2026'!AD18</f>
        <v>1165.95</v>
      </c>
    </row>
    <row r="11" spans="1:17" x14ac:dyDescent="0.3">
      <c r="A11" s="4">
        <v>1</v>
      </c>
      <c r="B11" s="486" t="s">
        <v>155</v>
      </c>
      <c r="C11" s="66" t="s">
        <v>135</v>
      </c>
      <c r="D11" s="204">
        <f>SUM('[1]AUTO 2024'!V17:V18)</f>
        <v>1638.5500000000002</v>
      </c>
      <c r="E11" s="495">
        <f>SUM('[1]AUTO 2024'!W17:W18)</f>
        <v>676</v>
      </c>
      <c r="F11" s="7">
        <f>'AUTO 2024'!Q17</f>
        <v>3662.08</v>
      </c>
      <c r="G11" s="60">
        <f>'AUTO 2024'!Q18</f>
        <v>4053.32</v>
      </c>
      <c r="H11" s="60">
        <f>SUM('AUTO 2024'!AC17:AC18)</f>
        <v>4070.2599999999998</v>
      </c>
      <c r="I11" s="70">
        <f>SUM('AUTO 2024'!AD17:AD18)</f>
        <v>2035.1299999999999</v>
      </c>
      <c r="J11" s="328"/>
      <c r="K11" s="329"/>
      <c r="L11" s="7">
        <f>'AUTO 2025'!AC20</f>
        <v>4577.28</v>
      </c>
      <c r="M11" s="70">
        <f>'AUTO 2025'!AD20</f>
        <v>2288.64</v>
      </c>
      <c r="N11" s="69"/>
      <c r="O11" s="7"/>
      <c r="P11" s="194">
        <f>'AUTO 2026'!AC19</f>
        <v>4770.76</v>
      </c>
      <c r="Q11" s="70">
        <f>'AUTO 2026'!AD19</f>
        <v>2385.38</v>
      </c>
    </row>
    <row r="12" spans="1:17" x14ac:dyDescent="0.3">
      <c r="A12" s="4">
        <v>1</v>
      </c>
      <c r="B12" s="486" t="s">
        <v>156</v>
      </c>
      <c r="C12" s="66" t="s">
        <v>136</v>
      </c>
      <c r="D12" s="327"/>
      <c r="E12" s="332"/>
      <c r="F12" s="7">
        <f>'AUTO 2024'!Q19</f>
        <v>2073.98</v>
      </c>
      <c r="G12" s="60">
        <f>'AUTO 2024'!Q20</f>
        <v>2286.6</v>
      </c>
      <c r="H12" s="60">
        <f>SUM('AUTO 2024'!AC19:AC20)</f>
        <v>2291.2999999999997</v>
      </c>
      <c r="I12" s="70">
        <f>SUM('AUTO 2024'!AD19:AD20)</f>
        <v>1145.6499999999999</v>
      </c>
      <c r="J12" s="889">
        <f>'[1]AUTO 2025'!V21</f>
        <v>2194</v>
      </c>
      <c r="K12" s="7">
        <f>'[1]AUTO 2025'!W21</f>
        <v>479</v>
      </c>
      <c r="L12" s="7">
        <f>'AUTO 2025'!AC21</f>
        <v>2413.2600000000002</v>
      </c>
      <c r="M12" s="70">
        <f>'AUTO 2025'!AD21</f>
        <v>1206.6300000000001</v>
      </c>
      <c r="N12" s="69"/>
      <c r="O12" s="7"/>
      <c r="P12" s="194">
        <f>'AUTO 2026'!AC20</f>
        <v>2510.92</v>
      </c>
      <c r="Q12" s="70">
        <f>'AUTO 2026'!AD20</f>
        <v>1255.46</v>
      </c>
    </row>
    <row r="13" spans="1:17" x14ac:dyDescent="0.3">
      <c r="A13" s="4">
        <v>1</v>
      </c>
      <c r="B13" s="486" t="s">
        <v>157</v>
      </c>
      <c r="C13" s="66" t="s">
        <v>137</v>
      </c>
      <c r="D13" s="330"/>
      <c r="E13" s="331"/>
      <c r="F13" s="7">
        <f>'AUTO 2024'!Q21</f>
        <v>1738.76</v>
      </c>
      <c r="G13" s="60">
        <f>'AUTO 2024'!Q22</f>
        <v>2004.82</v>
      </c>
      <c r="H13" s="60">
        <f>SUM('AUTO 2024'!AC21:AC22)</f>
        <v>2009.28</v>
      </c>
      <c r="I13" s="70">
        <f>SUM('AUTO 2024'!AD21:AD22)</f>
        <v>1004.64</v>
      </c>
      <c r="J13" s="330"/>
      <c r="K13" s="331"/>
      <c r="L13" s="7">
        <f>'AUTO 2025'!AC22</f>
        <v>2117.12</v>
      </c>
      <c r="M13" s="70">
        <f>'AUTO 2025'!AD22</f>
        <v>1058.56</v>
      </c>
      <c r="N13" s="69"/>
      <c r="O13" s="7"/>
      <c r="P13" s="194">
        <f>'AUTO 2026'!AC21</f>
        <v>2214.7600000000002</v>
      </c>
      <c r="Q13" s="70">
        <f>'AUTO 2026'!AD21</f>
        <v>1107.3800000000001</v>
      </c>
    </row>
    <row r="14" spans="1:17" x14ac:dyDescent="0.3">
      <c r="A14" s="4">
        <v>1</v>
      </c>
      <c r="B14" s="486" t="s">
        <v>158</v>
      </c>
      <c r="C14" s="66" t="s">
        <v>143</v>
      </c>
      <c r="D14" s="330"/>
      <c r="E14" s="331"/>
      <c r="F14" s="7">
        <f>'AUTO 2024'!Q33</f>
        <v>1762.54</v>
      </c>
      <c r="G14" s="95">
        <f>'AUTO 2024'!Q34</f>
        <v>2102.7199999999998</v>
      </c>
      <c r="H14" s="60">
        <f>SUM('AUTO 2024'!AC33:AC34)</f>
        <v>2106.7799999999997</v>
      </c>
      <c r="I14" s="70">
        <f>SUM('AUTO 2024'!AD33:AD34)</f>
        <v>1053.3899999999999</v>
      </c>
      <c r="J14" s="330"/>
      <c r="K14" s="331"/>
      <c r="L14" s="7">
        <f>'AUTO 2025'!AC28</f>
        <v>2218.94</v>
      </c>
      <c r="M14" s="70">
        <f>'AUTO 2025'!AD28</f>
        <v>1109.47</v>
      </c>
      <c r="N14" s="69"/>
      <c r="O14" s="7"/>
      <c r="P14" s="194">
        <f>'AUTO 2026'!AC28</f>
        <v>2318.52</v>
      </c>
      <c r="Q14" s="70">
        <f>'AUTO 2026'!AD28</f>
        <v>1159.26</v>
      </c>
    </row>
    <row r="15" spans="1:17" x14ac:dyDescent="0.3">
      <c r="A15" s="4">
        <v>1</v>
      </c>
      <c r="B15" s="486" t="s">
        <v>159</v>
      </c>
      <c r="C15" s="66" t="s">
        <v>146</v>
      </c>
      <c r="D15" s="330"/>
      <c r="E15" s="331"/>
      <c r="F15" s="7">
        <f>'AUTO 2024'!Q37</f>
        <v>1762.54</v>
      </c>
      <c r="G15" s="93">
        <f>'AUTO 2024'!Q38</f>
        <v>2188.38</v>
      </c>
      <c r="H15" s="60">
        <f>SUM('AUTO 2024'!AC37:AC38)</f>
        <v>2193.4399999999996</v>
      </c>
      <c r="I15" s="70">
        <f>SUM('AUTO 2024'!AD37:AD38)</f>
        <v>1096.7199999999998</v>
      </c>
      <c r="J15" s="330"/>
      <c r="K15" s="331"/>
      <c r="L15" s="7">
        <f>'AUTO 2025'!AC32</f>
        <v>2309.84</v>
      </c>
      <c r="M15" s="70">
        <f>'AUTO 2025'!AD32</f>
        <v>1154.92</v>
      </c>
      <c r="N15" s="69"/>
      <c r="O15" s="7"/>
      <c r="P15" s="494">
        <f>'AUTO 2026'!AC33</f>
        <v>2407.44</v>
      </c>
      <c r="Q15" s="77">
        <f>'AUTO 2026'!AD33</f>
        <v>1203.72</v>
      </c>
    </row>
    <row r="16" spans="1:17" x14ac:dyDescent="0.3">
      <c r="A16" s="4">
        <v>1</v>
      </c>
      <c r="B16" s="486" t="s">
        <v>160</v>
      </c>
      <c r="C16" s="66" t="s">
        <v>147</v>
      </c>
      <c r="D16" s="889">
        <f>SUM('[1]AUTO 2024'!V41:V42)</f>
        <v>1486.36</v>
      </c>
      <c r="E16" s="7">
        <f>SUM('[1]AUTO 2024'!W41:W42)</f>
        <v>908</v>
      </c>
      <c r="F16" s="60">
        <f>'AUTO 2024'!Q41</f>
        <v>1753.32</v>
      </c>
      <c r="G16" s="60">
        <f>'AUTO 2024'!Q42</f>
        <v>2142.54</v>
      </c>
      <c r="H16" s="60">
        <f>SUM('AUTO 2024'!AC41:AC42)</f>
        <v>2147.3399999999997</v>
      </c>
      <c r="I16" s="70">
        <f>SUM('AUTO 2024'!AD41:AD42)</f>
        <v>1073.6699999999998</v>
      </c>
      <c r="J16" s="889">
        <f>SUM('[1]AUTO 2025'!V35:V36)</f>
        <v>691</v>
      </c>
      <c r="K16" s="7">
        <f>SUM('[1]AUTO 2025'!W35:W36)</f>
        <v>479</v>
      </c>
      <c r="L16" s="7">
        <f>'AUTO 2025'!AC35</f>
        <v>2555.1</v>
      </c>
      <c r="M16" s="70">
        <f>'AUTO 2025'!AD35</f>
        <v>1277.55</v>
      </c>
      <c r="N16" s="69"/>
      <c r="O16" s="7"/>
      <c r="P16" s="57">
        <f>'AUTO 2026'!AC34</f>
        <v>2946.3870967741937</v>
      </c>
      <c r="Q16" s="81">
        <f>'AUTO 2026'!AD34</f>
        <v>1826.76</v>
      </c>
    </row>
    <row r="17" spans="1:17" ht="15" thickBot="1" x14ac:dyDescent="0.35">
      <c r="A17" s="23">
        <f>SUM(A3:A16)</f>
        <v>14</v>
      </c>
      <c r="D17" s="471">
        <f t="shared" ref="D17:I17" si="0">SUM(D5:D16)</f>
        <v>8629.4599999999991</v>
      </c>
      <c r="E17" s="472">
        <f t="shared" si="0"/>
        <v>2208</v>
      </c>
      <c r="F17" s="454">
        <f t="shared" si="0"/>
        <v>20015.150000000001</v>
      </c>
      <c r="G17" s="454">
        <f t="shared" si="0"/>
        <v>23038.740000000005</v>
      </c>
      <c r="H17" s="472">
        <f t="shared" si="0"/>
        <v>27273.019999999997</v>
      </c>
      <c r="I17" s="473">
        <f t="shared" si="0"/>
        <v>13636.509999999998</v>
      </c>
      <c r="J17" s="471">
        <f t="shared" ref="J17:Q17" si="1">SUM(J3:J16)</f>
        <v>7681.16</v>
      </c>
      <c r="K17" s="472">
        <f t="shared" si="1"/>
        <v>2274</v>
      </c>
      <c r="L17" s="472">
        <f t="shared" si="1"/>
        <v>33040.656774193551</v>
      </c>
      <c r="M17" s="473">
        <f t="shared" si="1"/>
        <v>16779.419999999998</v>
      </c>
      <c r="N17" s="471">
        <f t="shared" si="1"/>
        <v>0</v>
      </c>
      <c r="O17" s="472">
        <f t="shared" si="1"/>
        <v>0</v>
      </c>
      <c r="P17" s="511">
        <f t="shared" si="1"/>
        <v>32771.105027808677</v>
      </c>
      <c r="Q17" s="473">
        <f t="shared" si="1"/>
        <v>16929.169999999998</v>
      </c>
    </row>
    <row r="18" spans="1:17" x14ac:dyDescent="0.3">
      <c r="D18" s="57"/>
      <c r="E18" s="57"/>
      <c r="F18" s="57"/>
      <c r="G18" s="57"/>
      <c r="H18" s="57"/>
      <c r="I18" s="57"/>
      <c r="L18" s="57"/>
      <c r="M18" s="57"/>
    </row>
    <row r="19" spans="1:17" x14ac:dyDescent="0.3">
      <c r="A19" s="877" t="s">
        <v>95</v>
      </c>
      <c r="B19" s="394" t="s">
        <v>89</v>
      </c>
      <c r="D19" s="57"/>
      <c r="E19" s="57"/>
      <c r="F19" s="213"/>
      <c r="G19" s="213"/>
      <c r="H19" s="400">
        <f>SUM(H5:H6)</f>
        <v>4199.96</v>
      </c>
      <c r="I19" s="7">
        <f>SUM(I5:I6)</f>
        <v>2099.98</v>
      </c>
      <c r="L19" s="7">
        <f>SUM(L3:L4)</f>
        <v>3681.76</v>
      </c>
      <c r="M19" s="7">
        <f>SUM(M3:M4)</f>
        <v>1840.88</v>
      </c>
      <c r="P19" s="7">
        <v>0</v>
      </c>
      <c r="Q19" s="7">
        <v>0</v>
      </c>
    </row>
    <row r="20" spans="1:17" x14ac:dyDescent="0.3">
      <c r="A20" s="878"/>
      <c r="B20" s="394" t="s">
        <v>90</v>
      </c>
      <c r="D20" s="57"/>
      <c r="E20" s="57"/>
      <c r="F20" s="197"/>
      <c r="G20" s="197"/>
      <c r="H20" s="400">
        <v>0</v>
      </c>
      <c r="I20" s="7">
        <v>0</v>
      </c>
      <c r="L20" s="7">
        <f>L8</f>
        <v>2215.2600000000002</v>
      </c>
      <c r="M20" s="7">
        <f>M8</f>
        <v>1107.6300000000001</v>
      </c>
      <c r="P20" s="7">
        <v>0</v>
      </c>
      <c r="Q20" s="7">
        <v>0</v>
      </c>
    </row>
    <row r="21" spans="1:17" x14ac:dyDescent="0.3">
      <c r="A21" s="878"/>
      <c r="D21" s="443"/>
      <c r="E21" s="443"/>
      <c r="F21" s="443"/>
      <c r="G21" s="443"/>
      <c r="H21" s="443"/>
      <c r="I21" s="443"/>
      <c r="J21" s="443"/>
      <c r="K21" s="443"/>
      <c r="L21" s="443"/>
      <c r="M21" s="443"/>
      <c r="N21" s="443"/>
      <c r="O21" s="443"/>
      <c r="P21" s="443"/>
      <c r="Q21" s="443"/>
    </row>
    <row r="22" spans="1:17" s="442" customFormat="1" x14ac:dyDescent="0.3">
      <c r="A22" s="878"/>
      <c r="B22" s="482" t="s">
        <v>93</v>
      </c>
      <c r="E22" s="444"/>
      <c r="F22" s="219"/>
      <c r="G22" s="444"/>
      <c r="H22" s="445">
        <f>AVERAGE(H7:H16)</f>
        <v>2307.3059999999996</v>
      </c>
      <c r="I22" s="445">
        <f>AVERAGE(I7:I16)</f>
        <v>1153.6529999999998</v>
      </c>
      <c r="J22" s="444"/>
      <c r="K22" s="444"/>
      <c r="L22" s="445">
        <f>AVERAGE(L5:L16)</f>
        <v>2446.5747311827954</v>
      </c>
      <c r="M22" s="445">
        <f>AVERAGE(M5:M16)</f>
        <v>1244.8783333333333</v>
      </c>
      <c r="N22" s="444"/>
      <c r="O22" s="444"/>
      <c r="P22" s="445">
        <f>AVERAGE(P3:P7,P9:P16)</f>
        <v>2520.8542329083598</v>
      </c>
      <c r="Q22" s="445">
        <f>AVERAGE(Q3:Q7,Q9:Q16)</f>
        <v>1302.2438461538461</v>
      </c>
    </row>
    <row r="23" spans="1:17" s="442" customFormat="1" x14ac:dyDescent="0.3">
      <c r="A23" s="878"/>
      <c r="B23" s="482" t="s">
        <v>94</v>
      </c>
      <c r="E23" s="444"/>
      <c r="F23" s="445">
        <f>AVERAGE(F7:F16)</f>
        <v>2001.5150000000001</v>
      </c>
      <c r="G23" s="444"/>
      <c r="H23" s="445">
        <f>AVERAGE(H5:H16)</f>
        <v>2272.7516666666666</v>
      </c>
      <c r="I23" s="445">
        <f>AVERAGE(I5:I16)</f>
        <v>1136.3758333333333</v>
      </c>
      <c r="J23" s="444"/>
      <c r="K23" s="444"/>
      <c r="L23" s="445">
        <f>AVERAGE(L3:L7,L9:L16)</f>
        <v>2371.1843672456571</v>
      </c>
      <c r="M23" s="445">
        <f>AVERAGE(M3:M7,M9:M16)</f>
        <v>1205.5223076923075</v>
      </c>
      <c r="N23" s="444"/>
      <c r="O23" s="444"/>
      <c r="P23" s="539">
        <f>AVERAGE(P3:P7,P9:P16)</f>
        <v>2520.8542329083598</v>
      </c>
      <c r="Q23" s="539">
        <f>AVERAGE(Q3:Q7,Q9:Q16)</f>
        <v>1302.2438461538461</v>
      </c>
    </row>
    <row r="24" spans="1:17" s="442" customFormat="1" x14ac:dyDescent="0.3">
      <c r="A24" s="878"/>
      <c r="B24" s="482" t="s">
        <v>88</v>
      </c>
      <c r="E24" s="444"/>
      <c r="F24" s="445">
        <f>F17/F53</f>
        <v>2001.5150000000001</v>
      </c>
      <c r="G24" s="444"/>
      <c r="H24" s="445">
        <f>H17/H53</f>
        <v>2272.7516666666666</v>
      </c>
      <c r="I24" s="445">
        <f>I17/H53</f>
        <v>1136.3758333333333</v>
      </c>
      <c r="J24" s="444"/>
      <c r="K24" s="444"/>
      <c r="L24" s="445">
        <f>L17/L53</f>
        <v>2360.0469124423967</v>
      </c>
      <c r="M24" s="445">
        <f>M17/L53</f>
        <v>1198.53</v>
      </c>
      <c r="N24" s="444"/>
      <c r="O24" s="444"/>
      <c r="P24" s="445">
        <f>P17/P53</f>
        <v>2520.8542329083598</v>
      </c>
      <c r="Q24" s="445">
        <f>Q17/P53</f>
        <v>1302.2438461538461</v>
      </c>
    </row>
    <row r="25" spans="1:17" s="442" customFormat="1" x14ac:dyDescent="0.3">
      <c r="A25" s="878"/>
      <c r="B25" s="434"/>
      <c r="E25" s="444"/>
      <c r="F25" s="493"/>
      <c r="G25" s="444"/>
      <c r="H25" s="493"/>
      <c r="I25" s="493"/>
      <c r="J25" s="444"/>
      <c r="K25" s="444"/>
      <c r="L25" s="493"/>
      <c r="M25" s="493"/>
      <c r="N25" s="444"/>
      <c r="O25" s="444"/>
      <c r="P25" s="493"/>
      <c r="Q25" s="493"/>
    </row>
    <row r="26" spans="1:17" s="442" customFormat="1" x14ac:dyDescent="0.3">
      <c r="A26" s="878"/>
      <c r="B26" s="483" t="s">
        <v>100</v>
      </c>
      <c r="H26" s="437">
        <f>(H22-F23)/F23*100</f>
        <v>15.277976932473624</v>
      </c>
      <c r="I26" s="446"/>
      <c r="L26" s="437">
        <f>(L22-H23)/H23*100</f>
        <v>7.6481327487515003</v>
      </c>
      <c r="M26" s="437">
        <f>(M22-I23)/I23*100</f>
        <v>9.5481175168719918</v>
      </c>
      <c r="O26" s="447"/>
      <c r="P26" s="437">
        <f>(P22-L23)/L23*100</f>
        <v>6.312029875456612</v>
      </c>
      <c r="Q26" s="437">
        <f>(Q22-M23)/M23*100</f>
        <v>8.0232060281563342</v>
      </c>
    </row>
    <row r="27" spans="1:17" s="442" customFormat="1" x14ac:dyDescent="0.3">
      <c r="A27" s="879"/>
      <c r="B27" s="483" t="s">
        <v>101</v>
      </c>
      <c r="H27" s="437">
        <f>(H24-F24)/F24*100</f>
        <v>13.551568020557751</v>
      </c>
      <c r="I27" s="446"/>
      <c r="L27" s="437">
        <f>(L24-H24)/H24*100</f>
        <v>3.8409495879398814</v>
      </c>
      <c r="M27" s="437">
        <f>(M24-I24)/I24*100</f>
        <v>5.4695079606145596</v>
      </c>
      <c r="O27" s="447"/>
      <c r="P27" s="437">
        <f>(P24-L24)/L24*100</f>
        <v>6.813734066817541</v>
      </c>
      <c r="Q27" s="437">
        <f>(Q24-M24)/M24*100</f>
        <v>8.6534209534885349</v>
      </c>
    </row>
    <row r="28" spans="1:17" ht="15" thickBot="1" x14ac:dyDescent="0.35">
      <c r="E28" s="435"/>
      <c r="F28" s="436"/>
      <c r="G28" s="435"/>
      <c r="H28" s="436"/>
      <c r="I28" s="436"/>
      <c r="J28" s="435"/>
      <c r="K28" s="435"/>
      <c r="L28" s="436"/>
      <c r="M28" s="436"/>
      <c r="N28" s="435"/>
      <c r="O28" s="435"/>
      <c r="P28" s="436"/>
      <c r="Q28" s="436"/>
    </row>
    <row r="29" spans="1:17" x14ac:dyDescent="0.3">
      <c r="B29" s="880" t="s">
        <v>75</v>
      </c>
      <c r="C29" s="881"/>
      <c r="D29" s="882">
        <v>2024</v>
      </c>
      <c r="E29" s="883"/>
      <c r="F29" s="884"/>
      <c r="G29" s="884"/>
      <c r="H29" s="884"/>
      <c r="I29" s="885"/>
      <c r="J29" s="886">
        <v>2025</v>
      </c>
      <c r="K29" s="883"/>
      <c r="L29" s="884"/>
      <c r="M29" s="885"/>
      <c r="N29" s="882">
        <v>2026</v>
      </c>
      <c r="O29" s="883"/>
      <c r="P29" s="884"/>
      <c r="Q29" s="885"/>
    </row>
    <row r="30" spans="1:17" ht="43.2" x14ac:dyDescent="0.3">
      <c r="B30" s="65" t="s">
        <v>18</v>
      </c>
      <c r="C30" s="65" t="s">
        <v>19</v>
      </c>
      <c r="D30" s="108" t="s">
        <v>72</v>
      </c>
      <c r="E30" s="10" t="s">
        <v>27</v>
      </c>
      <c r="F30" s="14" t="s">
        <v>10</v>
      </c>
      <c r="G30" s="14" t="s">
        <v>78</v>
      </c>
      <c r="H30" s="14" t="s">
        <v>10</v>
      </c>
      <c r="I30" s="94" t="s">
        <v>10</v>
      </c>
      <c r="J30" s="458" t="s">
        <v>72</v>
      </c>
      <c r="K30" s="10" t="s">
        <v>27</v>
      </c>
      <c r="L30" s="14" t="s">
        <v>79</v>
      </c>
      <c r="M30" s="94" t="s">
        <v>80</v>
      </c>
      <c r="N30" s="163" t="s">
        <v>72</v>
      </c>
      <c r="O30" s="201" t="s">
        <v>27</v>
      </c>
      <c r="P30" s="14" t="s">
        <v>79</v>
      </c>
      <c r="Q30" s="94" t="s">
        <v>80</v>
      </c>
    </row>
    <row r="31" spans="1:17" x14ac:dyDescent="0.3">
      <c r="A31" s="4">
        <v>1</v>
      </c>
      <c r="B31" s="67" t="s">
        <v>148</v>
      </c>
      <c r="C31" s="67">
        <v>96</v>
      </c>
      <c r="D31" s="259"/>
      <c r="E31" s="247"/>
      <c r="F31" s="457"/>
      <c r="G31" s="457"/>
      <c r="H31" s="457"/>
      <c r="I31" s="461"/>
      <c r="J31" s="270">
        <v>1</v>
      </c>
      <c r="K31" s="4" t="s">
        <v>30</v>
      </c>
      <c r="L31" s="286"/>
      <c r="M31" s="287"/>
      <c r="N31" s="269"/>
      <c r="O31" s="4"/>
      <c r="P31" s="348">
        <f t="shared" ref="P31:Q35" si="2">(P3-L3)/L3*100</f>
        <v>5.2362975391498781</v>
      </c>
      <c r="Q31" s="349">
        <f t="shared" si="2"/>
        <v>5.2362975391498781</v>
      </c>
    </row>
    <row r="32" spans="1:17" x14ac:dyDescent="0.3">
      <c r="A32" s="4">
        <v>1</v>
      </c>
      <c r="B32" s="485" t="s">
        <v>149</v>
      </c>
      <c r="C32" s="67" t="s">
        <v>127</v>
      </c>
      <c r="D32" s="259"/>
      <c r="E32" s="247"/>
      <c r="F32" s="457"/>
      <c r="G32" s="457"/>
      <c r="H32" s="457"/>
      <c r="I32" s="461"/>
      <c r="J32" s="496">
        <v>1</v>
      </c>
      <c r="K32" s="264" t="s">
        <v>29</v>
      </c>
      <c r="L32" s="286"/>
      <c r="M32" s="287"/>
      <c r="N32" s="269"/>
      <c r="O32" s="4"/>
      <c r="P32" s="350">
        <f t="shared" si="2"/>
        <v>12.393397768459952</v>
      </c>
      <c r="Q32" s="351">
        <f t="shared" si="2"/>
        <v>12.393397768459952</v>
      </c>
    </row>
    <row r="33" spans="1:18" x14ac:dyDescent="0.3">
      <c r="A33" s="4">
        <v>1</v>
      </c>
      <c r="B33" s="486" t="s">
        <v>150</v>
      </c>
      <c r="C33" s="66" t="s">
        <v>129</v>
      </c>
      <c r="D33" s="259"/>
      <c r="E33" s="247"/>
      <c r="F33" s="457"/>
      <c r="G33" s="457"/>
      <c r="H33" s="457"/>
      <c r="I33" s="461"/>
      <c r="J33" s="497">
        <v>1</v>
      </c>
      <c r="K33" s="275" t="s">
        <v>76</v>
      </c>
      <c r="L33" s="43">
        <f t="shared" ref="L33:L44" si="3">(L5-H5)/H5*100</f>
        <v>5.5169534765063339</v>
      </c>
      <c r="M33" s="501">
        <f t="shared" ref="M33:M44" si="4">(M5-I5)/I5*100</f>
        <v>5.5169534765063339</v>
      </c>
      <c r="N33" s="269"/>
      <c r="O33" s="4"/>
      <c r="P33" s="348">
        <f t="shared" si="2"/>
        <v>4.7704453939617721</v>
      </c>
      <c r="Q33" s="349">
        <f t="shared" si="2"/>
        <v>4.7704453939617721</v>
      </c>
    </row>
    <row r="34" spans="1:18" x14ac:dyDescent="0.3">
      <c r="A34" s="4">
        <v>1</v>
      </c>
      <c r="B34" s="486" t="s">
        <v>151</v>
      </c>
      <c r="C34" s="66" t="s">
        <v>130</v>
      </c>
      <c r="D34" s="282">
        <v>1</v>
      </c>
      <c r="E34" s="262" t="s">
        <v>31</v>
      </c>
      <c r="F34" s="198"/>
      <c r="G34" s="198"/>
      <c r="H34" s="198"/>
      <c r="I34" s="462"/>
      <c r="J34" s="300"/>
      <c r="K34" s="316"/>
      <c r="L34" s="289">
        <f t="shared" si="3"/>
        <v>5.6278570195370392</v>
      </c>
      <c r="M34" s="291">
        <f t="shared" si="4"/>
        <v>30.978542704225916</v>
      </c>
      <c r="N34" s="269"/>
      <c r="O34" s="4"/>
      <c r="P34" s="350">
        <f t="shared" si="2"/>
        <v>10.029247388497211</v>
      </c>
      <c r="Q34" s="351">
        <f t="shared" si="2"/>
        <v>2.9305862666586826</v>
      </c>
    </row>
    <row r="35" spans="1:18" x14ac:dyDescent="0.3">
      <c r="A35" s="4">
        <v>1</v>
      </c>
      <c r="B35" s="486" t="s">
        <v>152</v>
      </c>
      <c r="C35" s="66" t="s">
        <v>131</v>
      </c>
      <c r="D35" s="250">
        <v>1</v>
      </c>
      <c r="E35" s="38" t="s">
        <v>30</v>
      </c>
      <c r="F35" s="464"/>
      <c r="G35" s="346">
        <f t="shared" ref="G35:G44" si="5">(G7-F7)/F7*100</f>
        <v>10.33495134463641</v>
      </c>
      <c r="H35" s="464"/>
      <c r="I35" s="463"/>
      <c r="J35" s="459"/>
      <c r="K35" s="317"/>
      <c r="L35" s="289">
        <f t="shared" si="3"/>
        <v>5.852234961781325</v>
      </c>
      <c r="M35" s="290">
        <f t="shared" si="4"/>
        <v>5.852234961781325</v>
      </c>
      <c r="N35" s="252">
        <v>1</v>
      </c>
      <c r="O35" s="51" t="s">
        <v>30</v>
      </c>
      <c r="P35" s="352">
        <f t="shared" si="2"/>
        <v>5.2058907214269539</v>
      </c>
      <c r="Q35" s="353">
        <f t="shared" si="2"/>
        <v>5.2058907214269539</v>
      </c>
    </row>
    <row r="36" spans="1:18" x14ac:dyDescent="0.3">
      <c r="A36" s="4">
        <v>1</v>
      </c>
      <c r="B36" s="67" t="s">
        <v>169</v>
      </c>
      <c r="C36" s="67" t="s">
        <v>162</v>
      </c>
      <c r="D36" s="344"/>
      <c r="E36" s="345"/>
      <c r="F36" s="465"/>
      <c r="G36" s="308">
        <f t="shared" si="5"/>
        <v>22.557195032870723</v>
      </c>
      <c r="H36" s="306"/>
      <c r="I36" s="489"/>
      <c r="J36" s="459"/>
      <c r="K36" s="317"/>
      <c r="L36" s="512">
        <f t="shared" si="3"/>
        <v>5.8757742601514131</v>
      </c>
      <c r="M36" s="513">
        <f t="shared" si="4"/>
        <v>5.8757742601514131</v>
      </c>
      <c r="N36" s="505"/>
      <c r="O36" s="243"/>
      <c r="P36" s="354"/>
      <c r="Q36" s="355"/>
    </row>
    <row r="37" spans="1:18" x14ac:dyDescent="0.3">
      <c r="A37" s="4">
        <v>1</v>
      </c>
      <c r="B37" s="66" t="s">
        <v>153</v>
      </c>
      <c r="C37" s="66" t="s">
        <v>132</v>
      </c>
      <c r="D37" s="250">
        <v>1</v>
      </c>
      <c r="E37" s="251" t="s">
        <v>30</v>
      </c>
      <c r="F37" s="301"/>
      <c r="G37" s="293">
        <f t="shared" si="5"/>
        <v>11.366856639062938</v>
      </c>
      <c r="H37" s="303"/>
      <c r="I37" s="463"/>
      <c r="J37" s="459"/>
      <c r="K37" s="317"/>
      <c r="L37" s="289">
        <f t="shared" si="3"/>
        <v>5.7421011878906869</v>
      </c>
      <c r="M37" s="290">
        <f t="shared" si="4"/>
        <v>5.7421011878906869</v>
      </c>
      <c r="N37" s="250"/>
      <c r="O37" s="38"/>
      <c r="P37" s="356">
        <f t="shared" ref="P37:Q44" si="6">(P9-L9)/L9*100</f>
        <v>4.0854415402337851</v>
      </c>
      <c r="Q37" s="357">
        <f t="shared" si="6"/>
        <v>4.0854415402337851</v>
      </c>
    </row>
    <row r="38" spans="1:18" x14ac:dyDescent="0.3">
      <c r="A38" s="4">
        <v>1</v>
      </c>
      <c r="B38" s="486" t="s">
        <v>154</v>
      </c>
      <c r="C38" s="66" t="s">
        <v>134</v>
      </c>
      <c r="D38" s="309"/>
      <c r="E38" s="310"/>
      <c r="F38" s="301"/>
      <c r="G38" s="293">
        <f t="shared" si="5"/>
        <v>11.336669499260372</v>
      </c>
      <c r="H38" s="303"/>
      <c r="I38" s="463"/>
      <c r="J38" s="459"/>
      <c r="K38" s="317"/>
      <c r="L38" s="289">
        <f t="shared" si="3"/>
        <v>5.7350817072134586</v>
      </c>
      <c r="M38" s="290">
        <f t="shared" si="4"/>
        <v>5.7350817072134586</v>
      </c>
      <c r="N38" s="269"/>
      <c r="O38" s="4"/>
      <c r="P38" s="348">
        <f t="shared" si="6"/>
        <v>4.1008196282209299</v>
      </c>
      <c r="Q38" s="349">
        <f t="shared" si="6"/>
        <v>4.1008196282209299</v>
      </c>
    </row>
    <row r="39" spans="1:18" x14ac:dyDescent="0.3">
      <c r="A39" s="4">
        <v>1</v>
      </c>
      <c r="B39" s="486" t="s">
        <v>155</v>
      </c>
      <c r="C39" s="66" t="s">
        <v>135</v>
      </c>
      <c r="D39" s="260">
        <v>2</v>
      </c>
      <c r="E39" s="249" t="s">
        <v>73</v>
      </c>
      <c r="F39" s="303"/>
      <c r="G39" s="43">
        <f t="shared" si="5"/>
        <v>10.683545962950024</v>
      </c>
      <c r="H39" s="303"/>
      <c r="I39" s="463"/>
      <c r="J39" s="312"/>
      <c r="K39" s="318"/>
      <c r="L39" s="292">
        <f t="shared" si="3"/>
        <v>12.456698097910207</v>
      </c>
      <c r="M39" s="291">
        <f t="shared" si="4"/>
        <v>12.456698097910207</v>
      </c>
      <c r="N39" s="269"/>
      <c r="O39" s="4"/>
      <c r="P39" s="348">
        <f t="shared" si="6"/>
        <v>4.2269644854586241</v>
      </c>
      <c r="Q39" s="349">
        <f t="shared" si="6"/>
        <v>4.2269644854586241</v>
      </c>
    </row>
    <row r="40" spans="1:18" x14ac:dyDescent="0.3">
      <c r="A40" s="4">
        <v>1</v>
      </c>
      <c r="B40" s="486" t="s">
        <v>156</v>
      </c>
      <c r="C40" s="66" t="s">
        <v>136</v>
      </c>
      <c r="D40" s="299"/>
      <c r="E40" s="300"/>
      <c r="F40" s="464"/>
      <c r="G40" s="43">
        <f t="shared" si="5"/>
        <v>10.25178642031263</v>
      </c>
      <c r="H40" s="303"/>
      <c r="I40" s="463"/>
      <c r="J40" s="270">
        <v>1</v>
      </c>
      <c r="K40" s="66" t="s">
        <v>32</v>
      </c>
      <c r="L40" s="43">
        <f t="shared" si="3"/>
        <v>5.3227425478985948</v>
      </c>
      <c r="M40" s="290">
        <f t="shared" si="4"/>
        <v>5.3227425478985948</v>
      </c>
      <c r="N40" s="269"/>
      <c r="O40" s="4"/>
      <c r="P40" s="348">
        <f t="shared" si="6"/>
        <v>4.046808052178374</v>
      </c>
      <c r="Q40" s="349">
        <f t="shared" si="6"/>
        <v>4.046808052178374</v>
      </c>
    </row>
    <row r="41" spans="1:18" x14ac:dyDescent="0.3">
      <c r="A41" s="4">
        <v>1</v>
      </c>
      <c r="B41" s="486" t="s">
        <v>157</v>
      </c>
      <c r="C41" s="66" t="s">
        <v>137</v>
      </c>
      <c r="D41" s="313"/>
      <c r="E41" s="459"/>
      <c r="F41" s="464"/>
      <c r="G41" s="43">
        <f t="shared" si="5"/>
        <v>15.301709264073244</v>
      </c>
      <c r="H41" s="303"/>
      <c r="I41" s="463"/>
      <c r="J41" s="459"/>
      <c r="K41" s="459"/>
      <c r="L41" s="43">
        <f t="shared" si="3"/>
        <v>5.367096671444493</v>
      </c>
      <c r="M41" s="290">
        <f t="shared" si="4"/>
        <v>5.367096671444493</v>
      </c>
      <c r="N41" s="269"/>
      <c r="O41" s="4"/>
      <c r="P41" s="348">
        <f t="shared" si="6"/>
        <v>4.6119256348246829</v>
      </c>
      <c r="Q41" s="349">
        <f t="shared" si="6"/>
        <v>4.6119256348246829</v>
      </c>
    </row>
    <row r="42" spans="1:18" x14ac:dyDescent="0.3">
      <c r="A42" s="4">
        <v>1</v>
      </c>
      <c r="B42" s="486" t="s">
        <v>158</v>
      </c>
      <c r="C42" s="66" t="s">
        <v>143</v>
      </c>
      <c r="D42" s="313"/>
      <c r="E42" s="459"/>
      <c r="F42" s="464"/>
      <c r="G42" s="43">
        <f t="shared" si="5"/>
        <v>19.300554881023967</v>
      </c>
      <c r="H42" s="303"/>
      <c r="I42" s="463"/>
      <c r="J42" s="459"/>
      <c r="K42" s="459"/>
      <c r="L42" s="43">
        <f t="shared" si="3"/>
        <v>5.3237642278738324</v>
      </c>
      <c r="M42" s="290">
        <f t="shared" si="4"/>
        <v>5.3237642278738324</v>
      </c>
      <c r="N42" s="269"/>
      <c r="O42" s="4"/>
      <c r="P42" s="348">
        <f t="shared" si="6"/>
        <v>4.4877283748095902</v>
      </c>
      <c r="Q42" s="349">
        <f t="shared" si="6"/>
        <v>4.4877283748095902</v>
      </c>
    </row>
    <row r="43" spans="1:18" x14ac:dyDescent="0.3">
      <c r="A43" s="4">
        <v>1</v>
      </c>
      <c r="B43" s="486" t="s">
        <v>159</v>
      </c>
      <c r="C43" s="66" t="s">
        <v>146</v>
      </c>
      <c r="D43" s="313"/>
      <c r="E43" s="459"/>
      <c r="F43" s="304"/>
      <c r="G43" s="293">
        <f t="shared" si="5"/>
        <v>24.160586426407352</v>
      </c>
      <c r="H43" s="303"/>
      <c r="I43" s="463"/>
      <c r="J43" s="459"/>
      <c r="K43" s="459"/>
      <c r="L43" s="43">
        <f t="shared" si="3"/>
        <v>5.3067328032679519</v>
      </c>
      <c r="M43" s="290">
        <f t="shared" si="4"/>
        <v>5.3067328032679519</v>
      </c>
      <c r="N43" s="269"/>
      <c r="O43" s="4"/>
      <c r="P43" s="348">
        <f t="shared" si="6"/>
        <v>4.2254008935683816</v>
      </c>
      <c r="Q43" s="349">
        <f t="shared" si="6"/>
        <v>4.2254008935683816</v>
      </c>
    </row>
    <row r="44" spans="1:18" ht="15" thickBot="1" x14ac:dyDescent="0.35">
      <c r="A44" s="4">
        <v>1</v>
      </c>
      <c r="B44" s="486" t="s">
        <v>160</v>
      </c>
      <c r="C44" s="66" t="s">
        <v>147</v>
      </c>
      <c r="D44" s="498">
        <v>2</v>
      </c>
      <c r="E44" s="499" t="s">
        <v>29</v>
      </c>
      <c r="F44" s="500"/>
      <c r="G44" s="294">
        <f t="shared" si="5"/>
        <v>22.199028129491481</v>
      </c>
      <c r="H44" s="307"/>
      <c r="I44" s="466"/>
      <c r="J44" s="510">
        <v>2</v>
      </c>
      <c r="K44" s="502" t="s">
        <v>77</v>
      </c>
      <c r="L44" s="503">
        <f t="shared" si="3"/>
        <v>18.98907485540251</v>
      </c>
      <c r="M44" s="504">
        <f t="shared" si="4"/>
        <v>18.98907485540251</v>
      </c>
      <c r="N44" s="506"/>
      <c r="O44" s="507"/>
      <c r="P44" s="508">
        <f t="shared" si="6"/>
        <v>15.313964102156227</v>
      </c>
      <c r="Q44" s="509">
        <f t="shared" si="6"/>
        <v>42.989315486673718</v>
      </c>
    </row>
    <row r="45" spans="1:18" x14ac:dyDescent="0.3">
      <c r="A45" s="23">
        <f>SUM(A31:A44)</f>
        <v>14</v>
      </c>
      <c r="D45" s="57"/>
      <c r="E45" s="57"/>
      <c r="F45" s="57"/>
      <c r="G45" s="295"/>
      <c r="H45" s="57"/>
      <c r="O45"/>
    </row>
    <row r="46" spans="1:18" x14ac:dyDescent="0.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s="442"/>
    </row>
    <row r="47" spans="1:18" ht="15" customHeight="1" x14ac:dyDescent="0.3">
      <c r="A47" s="875" t="s">
        <v>99</v>
      </c>
      <c r="B47" s="394" t="s">
        <v>102</v>
      </c>
      <c r="G47" s="367">
        <f>AVERAGE(G35:G44)</f>
        <v>15.749288360008915</v>
      </c>
      <c r="L47" s="43">
        <f>AVERAGE(L35:L44)</f>
        <v>7.5971301320834455</v>
      </c>
      <c r="M47" s="43">
        <f>AVERAGE(M35:M44)</f>
        <v>7.5971301320834455</v>
      </c>
      <c r="P47" s="43">
        <f>AVERAGE(P33:P35,P37:P44)</f>
        <v>5.918603292303322</v>
      </c>
      <c r="Q47" s="43">
        <f>AVERAGE(Q33:Q35,Q37:Q44)</f>
        <v>7.7892114980014098</v>
      </c>
    </row>
    <row r="48" spans="1:18" x14ac:dyDescent="0.3">
      <c r="A48" s="875"/>
      <c r="B48" s="394" t="s">
        <v>103</v>
      </c>
      <c r="G48" s="367">
        <f>AVERAGE(G35:G44)</f>
        <v>15.749288360008915</v>
      </c>
      <c r="K48" s="442"/>
      <c r="L48" s="437">
        <f>AVERAGE(L33:L35,L37:L44)</f>
        <v>7.3854852324296738</v>
      </c>
      <c r="M48" s="437">
        <f>AVERAGE(M33:M35,M37:M44)</f>
        <v>9.6900930219468471</v>
      </c>
      <c r="N48" s="442"/>
      <c r="O48" s="442"/>
      <c r="P48" s="490">
        <f>AVERAGE(P31:P35,P37:P44)</f>
        <v>6.3641793479189523</v>
      </c>
      <c r="Q48" s="490">
        <f>AVERAGE(Q31:Q35,Q37:Q44)</f>
        <v>7.9470016758173339</v>
      </c>
    </row>
    <row r="49" spans="1:18" x14ac:dyDescent="0.3">
      <c r="A49" s="875"/>
      <c r="B49" s="394" t="s">
        <v>101</v>
      </c>
      <c r="G49" s="490">
        <f>AVERAGE(G33:G44)</f>
        <v>15.749288360008915</v>
      </c>
      <c r="K49" s="442"/>
      <c r="L49" s="437">
        <f>AVERAGE(L33:L44)</f>
        <v>7.2596759847398191</v>
      </c>
      <c r="M49" s="437">
        <f>AVERAGE(M33:M44)</f>
        <v>9.3722331251305615</v>
      </c>
      <c r="N49" s="442"/>
      <c r="O49" s="447"/>
      <c r="P49" s="437">
        <f>AVERAGE(P31:P44)</f>
        <v>6.3641793479189523</v>
      </c>
      <c r="Q49" s="437">
        <f>AVERAGE(Q31:Q44)</f>
        <v>7.9470016758173339</v>
      </c>
      <c r="R49" s="442"/>
    </row>
    <row r="50" spans="1:18" x14ac:dyDescent="0.3">
      <c r="K50" s="442"/>
      <c r="L50" s="442"/>
      <c r="M50" s="442"/>
      <c r="N50" s="442"/>
      <c r="O50" s="442"/>
      <c r="P50" s="442"/>
      <c r="Q50" s="442"/>
      <c r="R50" s="442"/>
    </row>
    <row r="51" spans="1:18" ht="15" customHeight="1" x14ac:dyDescent="0.3">
      <c r="A51" s="876" t="s">
        <v>96</v>
      </c>
      <c r="B51" s="394" t="s">
        <v>98</v>
      </c>
      <c r="C51"/>
      <c r="E51" s="442"/>
      <c r="F51" s="219"/>
      <c r="G51" s="442"/>
      <c r="H51" s="16">
        <f>SUM(D31:D44)</f>
        <v>7</v>
      </c>
      <c r="I51" s="442"/>
      <c r="J51" s="442"/>
      <c r="K51" s="442"/>
      <c r="L51" s="16">
        <f>SUM(J31:J44)</f>
        <v>6</v>
      </c>
      <c r="M51" s="442"/>
      <c r="N51" s="442"/>
      <c r="O51" s="442"/>
      <c r="P51" s="16">
        <f>SUM(N31:N44)</f>
        <v>1</v>
      </c>
      <c r="Q51" s="442"/>
    </row>
    <row r="52" spans="1:18" x14ac:dyDescent="0.3">
      <c r="A52" s="876"/>
      <c r="B52" s="394" t="s">
        <v>92</v>
      </c>
      <c r="E52" s="442"/>
      <c r="F52" s="16">
        <f>SUM(A7:A16)</f>
        <v>10</v>
      </c>
      <c r="G52" s="442"/>
      <c r="H52" s="16">
        <f>SUM(A5:A16)</f>
        <v>12</v>
      </c>
      <c r="I52" s="442"/>
      <c r="J52" s="442"/>
      <c r="K52" s="442"/>
      <c r="L52" s="16">
        <f>SUM(A3:A7)+SUM(A9:A16)</f>
        <v>13</v>
      </c>
      <c r="M52" s="442"/>
      <c r="N52" s="442"/>
      <c r="O52" s="442"/>
      <c r="P52" s="16">
        <f>SUM(A3:A7)+SUM(A9:A16)</f>
        <v>13</v>
      </c>
      <c r="Q52" s="442"/>
    </row>
    <row r="53" spans="1:18" x14ac:dyDescent="0.3">
      <c r="A53" s="876"/>
      <c r="B53" s="394" t="s">
        <v>91</v>
      </c>
      <c r="E53" s="442"/>
      <c r="F53" s="16">
        <f>SUM(A7:A16)</f>
        <v>10</v>
      </c>
      <c r="G53" s="442"/>
      <c r="H53" s="16">
        <f>SUM(A5:A16)</f>
        <v>12</v>
      </c>
      <c r="I53" s="442"/>
      <c r="J53" s="442"/>
      <c r="K53" s="442"/>
      <c r="L53" s="16">
        <f>SUM(A3:A16)</f>
        <v>14</v>
      </c>
      <c r="M53" s="442"/>
      <c r="N53" s="442"/>
      <c r="O53" s="442"/>
      <c r="P53" s="16">
        <f>SUM(A3:A7)+SUM(A9:A16)</f>
        <v>13</v>
      </c>
      <c r="Q53" s="442"/>
    </row>
    <row r="54" spans="1:18" x14ac:dyDescent="0.3">
      <c r="A54" s="876"/>
      <c r="B54" s="394" t="s">
        <v>97</v>
      </c>
      <c r="F54" s="4">
        <v>0</v>
      </c>
      <c r="H54" s="43">
        <f>(H52-F52)/F52*100</f>
        <v>20</v>
      </c>
      <c r="L54" s="43">
        <f>(L52-H52)/H52*100</f>
        <v>8.3333333333333321</v>
      </c>
      <c r="P54" s="437">
        <f>(P52-L52)/L52*100</f>
        <v>0</v>
      </c>
    </row>
    <row r="61" spans="1:18" x14ac:dyDescent="0.3">
      <c r="B61" s="45"/>
      <c r="J61" s="34"/>
    </row>
    <row r="62" spans="1:18" x14ac:dyDescent="0.3">
      <c r="B62" s="45"/>
      <c r="J62" s="34"/>
    </row>
    <row r="63" spans="1:18" x14ac:dyDescent="0.3">
      <c r="B63" s="45"/>
    </row>
    <row r="65" spans="2:5" x14ac:dyDescent="0.3">
      <c r="C65" s="34"/>
      <c r="E65" s="34"/>
    </row>
    <row r="66" spans="2:5" x14ac:dyDescent="0.3">
      <c r="C66" s="34"/>
      <c r="E66" s="34"/>
    </row>
    <row r="67" spans="2:5" x14ac:dyDescent="0.3">
      <c r="B67" s="433"/>
      <c r="C67" s="394"/>
    </row>
    <row r="68" spans="2:5" x14ac:dyDescent="0.3">
      <c r="C68" s="34"/>
    </row>
    <row r="69" spans="2:5" x14ac:dyDescent="0.3">
      <c r="C69" s="34"/>
    </row>
  </sheetData>
  <mergeCells count="10">
    <mergeCell ref="J1:M1"/>
    <mergeCell ref="N1:Q1"/>
    <mergeCell ref="D29:I29"/>
    <mergeCell ref="J29:M29"/>
    <mergeCell ref="N29:Q29"/>
    <mergeCell ref="A19:A27"/>
    <mergeCell ref="A47:A49"/>
    <mergeCell ref="A51:A54"/>
    <mergeCell ref="B29:C29"/>
    <mergeCell ref="D1:I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3011-0182-4285-9153-755488A7E91C}">
  <dimension ref="A1:Q83"/>
  <sheetViews>
    <sheetView tabSelected="1" zoomScale="90" zoomScaleNormal="90" workbookViewId="0">
      <pane xSplit="2" topLeftCell="I1" activePane="topRight" state="frozen"/>
      <selection pane="topRight" activeCell="I4" sqref="I4:J23"/>
    </sheetView>
  </sheetViews>
  <sheetFormatPr baseColWidth="10" defaultColWidth="11.44140625" defaultRowHeight="14.4" x14ac:dyDescent="0.3"/>
  <cols>
    <col min="1" max="1" width="3.44140625" style="2" bestFit="1" customWidth="1"/>
    <col min="2" max="2" width="25.6640625" style="2" customWidth="1"/>
    <col min="3" max="3" width="12" style="2" bestFit="1" customWidth="1"/>
    <col min="4" max="4" width="11.6640625" style="2" bestFit="1" customWidth="1"/>
    <col min="5" max="5" width="14.44140625" style="2" customWidth="1"/>
    <col min="6" max="6" width="12" style="2" customWidth="1"/>
    <col min="7" max="7" width="12.5546875" style="2" bestFit="1" customWidth="1"/>
    <col min="8" max="8" width="11.88671875" style="2" customWidth="1"/>
    <col min="9" max="10" width="11.44140625" style="2" bestFit="1" customWidth="1"/>
    <col min="11" max="11" width="13" style="2" bestFit="1" customWidth="1"/>
    <col min="12" max="12" width="12.5546875" style="2" bestFit="1" customWidth="1"/>
    <col min="13" max="13" width="9.6640625" style="2" customWidth="1"/>
    <col min="14" max="14" width="9.44140625" style="2" bestFit="1" customWidth="1"/>
    <col min="15" max="15" width="13" style="2" bestFit="1" customWidth="1"/>
    <col min="16" max="16" width="12.5546875" style="2" bestFit="1" customWidth="1"/>
    <col min="17" max="16384" width="11.44140625" style="2"/>
  </cols>
  <sheetData>
    <row r="1" spans="1:16" x14ac:dyDescent="0.3">
      <c r="C1" s="882">
        <v>2024</v>
      </c>
      <c r="D1" s="883"/>
      <c r="E1" s="884"/>
      <c r="F1" s="884"/>
      <c r="G1" s="884"/>
      <c r="H1" s="885"/>
      <c r="I1" s="882">
        <v>2025</v>
      </c>
      <c r="J1" s="883"/>
      <c r="K1" s="884"/>
      <c r="L1" s="884"/>
      <c r="M1" s="882">
        <v>2026</v>
      </c>
      <c r="N1" s="883"/>
      <c r="O1" s="884"/>
      <c r="P1" s="885"/>
    </row>
    <row r="2" spans="1:16" ht="32.25" customHeight="1" x14ac:dyDescent="0.3">
      <c r="B2" s="65" t="s">
        <v>19</v>
      </c>
      <c r="C2" s="68" t="s">
        <v>24</v>
      </c>
      <c r="D2" s="10" t="s">
        <v>37</v>
      </c>
      <c r="E2" s="167" t="s">
        <v>67</v>
      </c>
      <c r="F2" s="167" t="s">
        <v>68</v>
      </c>
      <c r="G2" s="167" t="s">
        <v>65</v>
      </c>
      <c r="H2" s="94" t="s">
        <v>66</v>
      </c>
      <c r="I2" s="200" t="s">
        <v>24</v>
      </c>
      <c r="J2" s="201" t="s">
        <v>37</v>
      </c>
      <c r="K2" s="199" t="s">
        <v>65</v>
      </c>
      <c r="L2" s="199" t="s">
        <v>66</v>
      </c>
      <c r="M2" s="68" t="s">
        <v>24</v>
      </c>
      <c r="N2" s="10" t="s">
        <v>37</v>
      </c>
      <c r="O2" s="167" t="s">
        <v>65</v>
      </c>
      <c r="P2" s="94" t="s">
        <v>66</v>
      </c>
    </row>
    <row r="3" spans="1:16" x14ac:dyDescent="0.3">
      <c r="A3" s="4">
        <v>1</v>
      </c>
      <c r="B3" s="485" t="s">
        <v>119</v>
      </c>
      <c r="C3" s="84"/>
      <c r="D3" s="195"/>
      <c r="E3" s="195"/>
      <c r="F3" s="195"/>
      <c r="G3" s="195"/>
      <c r="H3" s="85"/>
      <c r="I3" s="78"/>
      <c r="J3" s="64"/>
      <c r="K3" s="64"/>
      <c r="L3" s="450"/>
      <c r="M3" s="69"/>
      <c r="N3" s="7"/>
      <c r="O3" s="432">
        <f>'AUTO 2026'!AC3</f>
        <v>2000.46</v>
      </c>
      <c r="P3" s="71">
        <f>'AUTO 2026'!AD3</f>
        <v>1000.23</v>
      </c>
    </row>
    <row r="4" spans="1:16" x14ac:dyDescent="0.3">
      <c r="A4" s="4">
        <v>1</v>
      </c>
      <c r="B4" s="67" t="s">
        <v>121</v>
      </c>
      <c r="C4" s="84"/>
      <c r="D4" s="195"/>
      <c r="E4" s="195"/>
      <c r="F4" s="195"/>
      <c r="G4" s="195"/>
      <c r="H4" s="85"/>
      <c r="I4" s="327"/>
      <c r="J4" s="324"/>
      <c r="K4" s="429">
        <f>'AUTO 2025'!Q4</f>
        <v>1793.24</v>
      </c>
      <c r="L4" s="451">
        <f>K4*'AUTO 2025'!AA4</f>
        <v>896.62</v>
      </c>
      <c r="M4" s="69"/>
      <c r="N4" s="7"/>
      <c r="O4" s="60">
        <f>'AUTO 2026'!AC5</f>
        <v>1874.94</v>
      </c>
      <c r="P4" s="70">
        <f>'AUTO 2026'!AD5</f>
        <v>937.47</v>
      </c>
    </row>
    <row r="5" spans="1:16" x14ac:dyDescent="0.3">
      <c r="A5" s="4">
        <v>1</v>
      </c>
      <c r="B5" s="67" t="s">
        <v>122</v>
      </c>
      <c r="C5" s="84"/>
      <c r="D5" s="195"/>
      <c r="E5" s="195"/>
      <c r="F5" s="195"/>
      <c r="G5" s="195"/>
      <c r="H5" s="85"/>
      <c r="I5" s="328"/>
      <c r="J5" s="326"/>
      <c r="K5" s="429">
        <f>'AUTO 2025'!Q5</f>
        <v>1793.24</v>
      </c>
      <c r="L5" s="451">
        <f>K5*'AUTO 2025'!AA5</f>
        <v>896.62</v>
      </c>
      <c r="M5" s="69"/>
      <c r="N5" s="7"/>
      <c r="O5" s="60">
        <f>'AUTO 2026'!AC6</f>
        <v>1874.94</v>
      </c>
      <c r="P5" s="70">
        <f>'AUTO 2026'!AD6</f>
        <v>937.47</v>
      </c>
    </row>
    <row r="6" spans="1:16" x14ac:dyDescent="0.3">
      <c r="A6" s="4">
        <v>1</v>
      </c>
      <c r="B6" s="67" t="s">
        <v>123</v>
      </c>
      <c r="C6" s="84"/>
      <c r="D6" s="195"/>
      <c r="E6" s="195"/>
      <c r="F6" s="195"/>
      <c r="G6" s="195"/>
      <c r="H6" s="85"/>
      <c r="I6" s="887">
        <f>'[1]AUTO 2025'!V6</f>
        <v>235</v>
      </c>
      <c r="J6" s="7">
        <f>'[1]AUTO 2025'!W6</f>
        <v>0</v>
      </c>
      <c r="K6" s="432">
        <f>'AUTO 2025'!Q6</f>
        <v>1793.24</v>
      </c>
      <c r="L6" s="451">
        <f>K6*'AUTO 2025'!AA6</f>
        <v>896.62</v>
      </c>
      <c r="M6" s="69"/>
      <c r="N6" s="7"/>
      <c r="O6" s="60">
        <f>'AUTO 2026'!AC7</f>
        <v>1874.94</v>
      </c>
      <c r="P6" s="70">
        <f>'AUTO 2026'!AD7</f>
        <v>937.47</v>
      </c>
    </row>
    <row r="7" spans="1:16" x14ac:dyDescent="0.3">
      <c r="A7" s="4">
        <v>1</v>
      </c>
      <c r="B7" s="67" t="s">
        <v>124</v>
      </c>
      <c r="C7" s="84"/>
      <c r="D7" s="195"/>
      <c r="E7" s="195"/>
      <c r="F7" s="195"/>
      <c r="G7" s="195"/>
      <c r="H7" s="85"/>
      <c r="I7" s="888">
        <f>'[1]AUTO 2025'!V7</f>
        <v>282</v>
      </c>
      <c r="J7" s="7">
        <f>'[1]AUTO 2025'!W7</f>
        <v>0</v>
      </c>
      <c r="K7" s="432">
        <f>'AUTO 2025'!Q7</f>
        <v>1793.24</v>
      </c>
      <c r="L7" s="451">
        <f>K7*'AUTO 2025'!AA7</f>
        <v>896.62</v>
      </c>
      <c r="M7" s="69"/>
      <c r="N7" s="7"/>
      <c r="O7" s="60">
        <f>'AUTO 2026'!AC8</f>
        <v>1874.94</v>
      </c>
      <c r="P7" s="70">
        <f>'AUTO 2026'!AD8</f>
        <v>937.47</v>
      </c>
    </row>
    <row r="8" spans="1:16" x14ac:dyDescent="0.3">
      <c r="A8" s="4">
        <v>1</v>
      </c>
      <c r="B8" s="67" t="s">
        <v>125</v>
      </c>
      <c r="C8" s="84"/>
      <c r="D8" s="195"/>
      <c r="E8" s="195"/>
      <c r="F8" s="195"/>
      <c r="G8" s="195"/>
      <c r="H8" s="85"/>
      <c r="I8" s="327"/>
      <c r="J8" s="324"/>
      <c r="K8" s="429">
        <f>'AUTO 2025'!Q8</f>
        <v>1881.34</v>
      </c>
      <c r="L8" s="451">
        <f>K8*'AUTO 2025'!AA8</f>
        <v>940.67</v>
      </c>
      <c r="M8" s="69"/>
      <c r="N8" s="7"/>
      <c r="O8" s="60">
        <f>'AUTO 2026'!AC9</f>
        <v>1977.82</v>
      </c>
      <c r="P8" s="70">
        <f>'AUTO 2026'!AD9</f>
        <v>988.91</v>
      </c>
    </row>
    <row r="9" spans="1:16" x14ac:dyDescent="0.3">
      <c r="A9" s="4">
        <v>1</v>
      </c>
      <c r="B9" s="67" t="s">
        <v>126</v>
      </c>
      <c r="C9" s="84"/>
      <c r="D9" s="195"/>
      <c r="E9" s="195"/>
      <c r="F9" s="195"/>
      <c r="G9" s="195"/>
      <c r="H9" s="85"/>
      <c r="I9" s="330"/>
      <c r="J9" s="331"/>
      <c r="K9" s="47">
        <f>'AUTO 2025'!Q9</f>
        <v>1881.34</v>
      </c>
      <c r="L9" s="451">
        <f>K9*'AUTO 2025'!AA9</f>
        <v>940.67</v>
      </c>
      <c r="M9" s="69"/>
      <c r="N9" s="7"/>
      <c r="O9" s="60">
        <f>'AUTO 2026'!AC10</f>
        <v>1977.82</v>
      </c>
      <c r="P9" s="70">
        <f>'AUTO 2026'!AD10</f>
        <v>988.91</v>
      </c>
    </row>
    <row r="10" spans="1:16" x14ac:dyDescent="0.3">
      <c r="A10" s="4">
        <v>1</v>
      </c>
      <c r="B10" s="485" t="s">
        <v>128</v>
      </c>
      <c r="C10" s="84"/>
      <c r="D10" s="195"/>
      <c r="E10" s="195"/>
      <c r="F10" s="195"/>
      <c r="G10" s="62"/>
      <c r="H10" s="89"/>
      <c r="I10" s="330"/>
      <c r="J10" s="331"/>
      <c r="K10" s="47">
        <f>'AUTO 2025'!Q11</f>
        <v>1842.2</v>
      </c>
      <c r="L10" s="451">
        <f>K10*'AUTO 2025'!AA11</f>
        <v>921.1</v>
      </c>
      <c r="M10" s="69"/>
      <c r="N10" s="7"/>
      <c r="O10" s="60">
        <f>'AUTO 2026'!AC12</f>
        <v>1927.78</v>
      </c>
      <c r="P10" s="70">
        <f>'AUTO 2026'!AD12</f>
        <v>963.89</v>
      </c>
    </row>
    <row r="11" spans="1:16" x14ac:dyDescent="0.3">
      <c r="A11" s="4">
        <v>1</v>
      </c>
      <c r="B11" s="66" t="s">
        <v>133</v>
      </c>
      <c r="C11" s="888">
        <f>SUM('[1]AUTO 2024'!V13:V14)</f>
        <v>1500.79</v>
      </c>
      <c r="D11" s="7">
        <f>SUM('[1]AUTO 2024'!W13:W14)</f>
        <v>454</v>
      </c>
      <c r="E11" s="60">
        <f>'AUTO 2024'!Q13</f>
        <v>1906.38</v>
      </c>
      <c r="F11" s="60">
        <f>'AUTO 2024'!Q14</f>
        <v>2122.5</v>
      </c>
      <c r="G11" s="60">
        <f>SUM('AUTO 2024'!AC13:AC14)</f>
        <v>2118.54</v>
      </c>
      <c r="H11" s="70">
        <f>SUM('AUTO 2024'!AD13:AD14)</f>
        <v>1059.27</v>
      </c>
      <c r="I11" s="330"/>
      <c r="J11" s="333"/>
      <c r="K11" s="60">
        <f>'AUTO 2025'!AC18</f>
        <v>2336.98</v>
      </c>
      <c r="L11" s="60">
        <f>'AUTO 2025'!AD18</f>
        <v>1168.49</v>
      </c>
      <c r="M11" s="76"/>
      <c r="N11" s="53"/>
      <c r="O11" s="60">
        <f>'AUTO 2026'!AC17</f>
        <v>2432.2800000000002</v>
      </c>
      <c r="P11" s="70">
        <f>'AUTO 2026'!AD17</f>
        <v>1216.1400000000001</v>
      </c>
    </row>
    <row r="12" spans="1:16" x14ac:dyDescent="0.3">
      <c r="A12" s="4">
        <v>1</v>
      </c>
      <c r="B12" s="66" t="s">
        <v>138</v>
      </c>
      <c r="C12" s="889">
        <f>SUM('[1]AUTO 2024'!V23)</f>
        <v>1422.25</v>
      </c>
      <c r="D12" s="7">
        <f>SUM('[1]AUTO 2024'!W23)</f>
        <v>454</v>
      </c>
      <c r="E12" s="60">
        <f>'AUTO 2024'!Q23</f>
        <v>1767.82</v>
      </c>
      <c r="F12" s="337"/>
      <c r="G12" s="60">
        <f>SUM('AUTO 2024'!AC23)</f>
        <v>2177.48</v>
      </c>
      <c r="H12" s="70">
        <f>SUM('AUTO 2024'!AD23)</f>
        <v>1088.74</v>
      </c>
      <c r="I12" s="889">
        <f>'[1]AUTO 2025'!V23</f>
        <v>219</v>
      </c>
      <c r="J12" s="7">
        <f>'[1]AUTO 2025'!W23</f>
        <v>0</v>
      </c>
      <c r="K12" s="60">
        <f>'AUTO 2025'!AC23</f>
        <v>2543.34</v>
      </c>
      <c r="L12" s="60">
        <f>'AUTO 2025'!AD23</f>
        <v>1271.67</v>
      </c>
      <c r="M12" s="78"/>
      <c r="N12" s="468"/>
      <c r="O12" s="64">
        <f>'AUTO 2026'!AC22</f>
        <v>2672.02</v>
      </c>
      <c r="P12" s="232">
        <f>'AUTO 2026'!AD22</f>
        <v>1336.01</v>
      </c>
    </row>
    <row r="13" spans="1:16" x14ac:dyDescent="0.3">
      <c r="A13" s="4">
        <v>1</v>
      </c>
      <c r="B13" s="66" t="s">
        <v>139</v>
      </c>
      <c r="C13" s="891">
        <f>SUM('[1]AUTO 2024'!V25:V26)</f>
        <v>303.66999999999996</v>
      </c>
      <c r="D13" s="13">
        <f>SUM('[1]AUTO 2024'!W25:W26)</f>
        <v>0</v>
      </c>
      <c r="E13" s="182">
        <f>'AUTO 2024'!Q25</f>
        <v>1594.08</v>
      </c>
      <c r="F13" s="182">
        <f>'AUTO 2024'!Q26</f>
        <v>1973.72</v>
      </c>
      <c r="G13" s="182">
        <f>SUM('AUTO 2024'!AC25:AC26)</f>
        <v>1977.94</v>
      </c>
      <c r="H13" s="70">
        <f>SUM('AUTO 2024'!AD25:AD26)</f>
        <v>988.97</v>
      </c>
      <c r="I13" s="327"/>
      <c r="J13" s="324"/>
      <c r="K13" s="60">
        <f>'AUTO 2025'!AC24</f>
        <v>2083.1999999999998</v>
      </c>
      <c r="L13" s="60">
        <f>'AUTO 2025'!AD24</f>
        <v>1041.5999999999999</v>
      </c>
      <c r="M13" s="91"/>
      <c r="N13" s="54"/>
      <c r="O13" s="60">
        <f>'AUTO 2026'!AC24</f>
        <v>2170.2600000000002</v>
      </c>
      <c r="P13" s="70">
        <f>'AUTO 2026'!AD24</f>
        <v>1085.1300000000001</v>
      </c>
    </row>
    <row r="14" spans="1:16" x14ac:dyDescent="0.3">
      <c r="A14" s="4">
        <v>1</v>
      </c>
      <c r="B14" s="66" t="s">
        <v>140</v>
      </c>
      <c r="C14" s="888">
        <f>SUM('[1]AUTO 2024'!V27:V28)</f>
        <v>244.2</v>
      </c>
      <c r="D14" s="7">
        <f>SUM('[1]AUTO 2024'!W27:W28)</f>
        <v>0</v>
      </c>
      <c r="E14" s="60">
        <f>'AUTO 2024'!Q27</f>
        <v>1594.08</v>
      </c>
      <c r="F14" s="60">
        <f>'AUTO 2024'!Q28</f>
        <v>1973.72</v>
      </c>
      <c r="G14" s="60">
        <f>SUM('AUTO 2024'!AC27:AC28)</f>
        <v>1977.94</v>
      </c>
      <c r="H14" s="70">
        <f>SUM('AUTO 2024'!AD27:AD28)</f>
        <v>988.97</v>
      </c>
      <c r="I14" s="330"/>
      <c r="J14" s="333"/>
      <c r="K14" s="60">
        <f>'AUTO 2025'!AC25</f>
        <v>2082.9</v>
      </c>
      <c r="L14" s="60">
        <f>'AUTO 2025'!AD25</f>
        <v>1041.45</v>
      </c>
      <c r="M14" s="69"/>
      <c r="N14" s="7"/>
      <c r="O14" s="60">
        <f>'AUTO 2026'!AC25</f>
        <v>2190.8200000000002</v>
      </c>
      <c r="P14" s="70">
        <f>'AUTO 2026'!AD25</f>
        <v>1095.4100000000001</v>
      </c>
    </row>
    <row r="15" spans="1:16" x14ac:dyDescent="0.3">
      <c r="A15" s="4">
        <v>1</v>
      </c>
      <c r="B15" s="66" t="s">
        <v>141</v>
      </c>
      <c r="C15" s="321"/>
      <c r="D15" s="334"/>
      <c r="E15" s="194">
        <f>'AUTO 2024'!Q29</f>
        <v>1577.6</v>
      </c>
      <c r="F15" s="60">
        <f>'AUTO 2024'!Q30</f>
        <v>1974.4</v>
      </c>
      <c r="G15" s="60">
        <f>SUM('AUTO 2024'!AC29:AC30)</f>
        <v>1970.8600000000001</v>
      </c>
      <c r="H15" s="70">
        <f>SUM('AUTO 2024'!AD29:AD30)</f>
        <v>985.43000000000006</v>
      </c>
      <c r="I15" s="328"/>
      <c r="J15" s="326"/>
      <c r="K15" s="60">
        <f>'AUTO 2025'!AC26</f>
        <v>2083.62</v>
      </c>
      <c r="L15" s="60">
        <f>'AUTO 2025'!AD26</f>
        <v>1041.81</v>
      </c>
      <c r="M15" s="69"/>
      <c r="N15" s="7"/>
      <c r="O15" s="60">
        <f>'AUTO 2026'!AC26</f>
        <v>2177.46</v>
      </c>
      <c r="P15" s="70">
        <f>'AUTO 2026'!AD26</f>
        <v>1088.73</v>
      </c>
    </row>
    <row r="16" spans="1:16" x14ac:dyDescent="0.3">
      <c r="A16" s="4">
        <v>1</v>
      </c>
      <c r="B16" s="66" t="s">
        <v>142</v>
      </c>
      <c r="C16" s="889">
        <f>SUM('[1]AUTO 2024'!V31:V32)</f>
        <v>6038.97</v>
      </c>
      <c r="D16" s="7">
        <f>SUM('[1]AUTO 2024'!W31:W32)</f>
        <v>268</v>
      </c>
      <c r="E16" s="60">
        <f>'AUTO 2024'!Q31</f>
        <v>1543.92</v>
      </c>
      <c r="F16" s="60">
        <f>'AUTO 2024'!Q32</f>
        <v>1932.48</v>
      </c>
      <c r="G16" s="60">
        <f>SUM('AUTO 2024'!AC31:AC32)</f>
        <v>1928.96</v>
      </c>
      <c r="H16" s="70">
        <f>SUM('AUTO 2024'!AD31:AD32)</f>
        <v>964.48</v>
      </c>
      <c r="I16" s="889">
        <f>'[1]AUTO 2025'!V27</f>
        <v>0</v>
      </c>
      <c r="J16" s="7">
        <f>'[1]AUTO 2025'!W27</f>
        <v>283</v>
      </c>
      <c r="K16" s="60">
        <f>'AUTO 2025'!AC27</f>
        <v>2313.14</v>
      </c>
      <c r="L16" s="60">
        <f>'AUTO 2025'!AD27</f>
        <v>1156.57</v>
      </c>
      <c r="M16" s="69"/>
      <c r="N16" s="7"/>
      <c r="O16" s="60">
        <f>'AUTO 2026'!AC27</f>
        <v>2419.7399999999998</v>
      </c>
      <c r="P16" s="70">
        <f>'AUTO 2026'!AD27</f>
        <v>1209.8699999999999</v>
      </c>
    </row>
    <row r="17" spans="1:16" x14ac:dyDescent="0.3">
      <c r="A17" s="4">
        <v>1</v>
      </c>
      <c r="B17" s="66" t="s">
        <v>144</v>
      </c>
      <c r="C17" s="330"/>
      <c r="D17" s="333"/>
      <c r="E17" s="194">
        <f>'AUTO 2024'!Q35</f>
        <v>1591.8</v>
      </c>
      <c r="F17" s="340"/>
      <c r="G17" s="194">
        <f>'AUTO 2024'!AC35</f>
        <v>1983.9</v>
      </c>
      <c r="H17" s="70">
        <f>SUM('AUTO 2024'!AD35)</f>
        <v>991.95</v>
      </c>
      <c r="I17" s="890">
        <f>SUM('[1]AUTO 2025'!V29:V30)</f>
        <v>1475</v>
      </c>
      <c r="J17" s="7">
        <f>SUM('[1]AUTO 2025'!W29:W30)</f>
        <v>283</v>
      </c>
      <c r="K17" s="60">
        <f>'AUTO 2025'!AC29</f>
        <v>2094.04</v>
      </c>
      <c r="L17" s="60">
        <f>'AUTO 2025'!AD29</f>
        <v>1047.02</v>
      </c>
      <c r="M17" s="84"/>
      <c r="N17" s="195"/>
      <c r="O17" s="59">
        <f>'AUTO 2026'!AC29</f>
        <v>2183.9</v>
      </c>
      <c r="P17" s="232">
        <f>'AUTO 2026'!AD29</f>
        <v>1091.95</v>
      </c>
    </row>
    <row r="18" spans="1:16" x14ac:dyDescent="0.3">
      <c r="A18" s="4">
        <v>1</v>
      </c>
      <c r="B18" s="66" t="s">
        <v>145</v>
      </c>
      <c r="C18" s="330"/>
      <c r="D18" s="333"/>
      <c r="E18" s="194">
        <f>'AUTO 2024'!Q36</f>
        <v>1591.8</v>
      </c>
      <c r="F18" s="341"/>
      <c r="G18" s="194">
        <f>'AUTO 2024'!AC36</f>
        <v>1983.94</v>
      </c>
      <c r="H18" s="70">
        <f>SUM('AUTO 2024'!AD36)</f>
        <v>991.97</v>
      </c>
      <c r="I18" s="321"/>
      <c r="J18" s="334"/>
      <c r="K18" s="7">
        <f>'AUTO 2025'!AC31</f>
        <v>2093.7199999999998</v>
      </c>
      <c r="L18" s="60">
        <f>'AUTO 2025'!AD31</f>
        <v>1046.8599999999999</v>
      </c>
      <c r="M18" s="84"/>
      <c r="N18" s="195"/>
      <c r="O18" s="59">
        <f>'AUTO 2026'!AC31</f>
        <v>2183.2800000000002</v>
      </c>
      <c r="P18" s="389">
        <f>'AUTO 2026'!AD31</f>
        <v>1091.6400000000001</v>
      </c>
    </row>
    <row r="19" spans="1:16" x14ac:dyDescent="0.3">
      <c r="A19" s="4">
        <v>1</v>
      </c>
      <c r="B19" s="66" t="s">
        <v>163</v>
      </c>
      <c r="C19" s="328"/>
      <c r="D19" s="326"/>
      <c r="E19" s="194">
        <f>'AUTO 2024'!Q39</f>
        <v>1762.54</v>
      </c>
      <c r="F19" s="60">
        <f>'AUTO 2024'!Q40</f>
        <v>2188.38</v>
      </c>
      <c r="G19" s="60">
        <f>SUM('AUTO 2024'!AC39:AC40)</f>
        <v>2193.4399999999996</v>
      </c>
      <c r="H19" s="70">
        <f>SUM('AUTO 2024'!AD39:AD40)</f>
        <v>1096.7199999999998</v>
      </c>
      <c r="I19" s="84"/>
      <c r="J19" s="195"/>
      <c r="K19" s="59">
        <f>'AUTO 2025'!AC33</f>
        <v>2309.84</v>
      </c>
      <c r="L19" s="438">
        <f>'AUTO 2025'!AD33</f>
        <v>1154.92</v>
      </c>
      <c r="M19" s="84"/>
      <c r="N19" s="195"/>
      <c r="O19" s="61"/>
      <c r="P19" s="83"/>
    </row>
    <row r="20" spans="1:16" x14ac:dyDescent="0.3">
      <c r="A20" s="4">
        <v>1</v>
      </c>
      <c r="B20" s="66" t="s">
        <v>164</v>
      </c>
      <c r="C20" s="888">
        <f>SUM('[1]AUTO 2024'!V43)</f>
        <v>572.05999999999995</v>
      </c>
      <c r="D20" s="7">
        <f>SUM('[1]AUTO 2024'!W43)</f>
        <v>0</v>
      </c>
      <c r="E20" s="60">
        <f>'AUTO 2024'!Q43</f>
        <v>1715.22</v>
      </c>
      <c r="F20" s="60">
        <f>'AUTO 2024'!Q44</f>
        <v>2257.3000000000002</v>
      </c>
      <c r="G20" s="60">
        <f>SUM('AUTO 2024'!AC43:AC44)</f>
        <v>2252.66</v>
      </c>
      <c r="H20" s="70">
        <f>SUM('AUTO 2024'!AD43:AD44)</f>
        <v>1126.33</v>
      </c>
      <c r="I20" s="84"/>
      <c r="J20" s="195"/>
      <c r="K20" s="59">
        <f>'AUTO 2025'!AC37</f>
        <v>2382.36</v>
      </c>
      <c r="L20" s="438">
        <f>'AUTO 2025'!AD37</f>
        <v>1191.18</v>
      </c>
      <c r="M20" s="84"/>
      <c r="N20" s="195"/>
      <c r="O20" s="195"/>
      <c r="P20" s="85"/>
    </row>
    <row r="21" spans="1:16" x14ac:dyDescent="0.3">
      <c r="A21" s="4">
        <v>1</v>
      </c>
      <c r="B21" s="66" t="s">
        <v>165</v>
      </c>
      <c r="C21" s="321"/>
      <c r="D21" s="334"/>
      <c r="E21" s="194">
        <f>'AUTO 2024'!Q45</f>
        <v>1497.48</v>
      </c>
      <c r="F21" s="60">
        <f>'AUTO 2024'!Q46</f>
        <v>1997</v>
      </c>
      <c r="G21" s="60">
        <f>SUM('AUTO 2024'!AC45:AC46)</f>
        <v>1992.6</v>
      </c>
      <c r="H21" s="70">
        <f>SUM('AUTO 2024'!AD45:AD46)</f>
        <v>996.3</v>
      </c>
      <c r="I21" s="78">
        <f>'[1]AUTO 2025'!V41</f>
        <v>635</v>
      </c>
      <c r="J21" s="59">
        <f>'[1]AUTO 2025'!W41</f>
        <v>479</v>
      </c>
      <c r="K21" s="438">
        <f>'AUTO 2025'!AC39</f>
        <v>2107.42</v>
      </c>
      <c r="L21" s="438">
        <f>'AUTO 2025'!AD39</f>
        <v>1053.71</v>
      </c>
      <c r="M21" s="84"/>
      <c r="N21" s="195"/>
      <c r="O21" s="195"/>
      <c r="P21" s="85"/>
    </row>
    <row r="22" spans="1:16" x14ac:dyDescent="0.3">
      <c r="A22" s="4">
        <v>1</v>
      </c>
      <c r="B22" s="66" t="s">
        <v>166</v>
      </c>
      <c r="C22" s="892">
        <f>SUM('[1]AUTO 2024'!V47)</f>
        <v>222.46</v>
      </c>
      <c r="D22" s="13">
        <f>SUM('[1]AUTO 2024'!W47)</f>
        <v>0</v>
      </c>
      <c r="E22" s="182">
        <f>'AUTO 2024'!Q47</f>
        <v>1529.98</v>
      </c>
      <c r="F22" s="182">
        <f>'AUTO 2024'!Q48</f>
        <v>2111.14</v>
      </c>
      <c r="G22" s="182">
        <f>SUM('AUTO 2024'!AC47:AC48)</f>
        <v>2112.7400000000002</v>
      </c>
      <c r="H22" s="70">
        <f>SUM('AUTO 2024'!AD47:AD48)</f>
        <v>1056.3700000000001</v>
      </c>
      <c r="I22" s="82"/>
      <c r="J22" s="448"/>
      <c r="K22" s="438">
        <f>'AUTO 2025'!AC41</f>
        <v>2230.2399999999998</v>
      </c>
      <c r="L22" s="438">
        <f>'AUTO 2025'!AD41</f>
        <v>1115.1199999999999</v>
      </c>
      <c r="M22" s="84"/>
      <c r="N22" s="195"/>
      <c r="O22" s="195"/>
      <c r="P22" s="85"/>
    </row>
    <row r="23" spans="1:16" ht="15" thickBot="1" x14ac:dyDescent="0.35">
      <c r="A23" s="4">
        <v>1</v>
      </c>
      <c r="B23" s="66" t="s">
        <v>167</v>
      </c>
      <c r="C23" s="342"/>
      <c r="D23" s="343"/>
      <c r="E23" s="196">
        <f>'AUTO 2024'!Q49</f>
        <v>1382.2</v>
      </c>
      <c r="F23" s="183">
        <f>'AUTO 2024'!Q50</f>
        <v>1906.42</v>
      </c>
      <c r="G23" s="183">
        <f>SUM('AUTO 2024'!AC49:AC50)</f>
        <v>1907.3600000000001</v>
      </c>
      <c r="H23" s="74">
        <f>SUM('AUTO 2024'!AD49:AD50)</f>
        <v>953.68000000000006</v>
      </c>
      <c r="I23" s="86"/>
      <c r="J23" s="469"/>
      <c r="K23" s="467">
        <f>'AUTO 2025'!AC44</f>
        <v>2014.44</v>
      </c>
      <c r="L23" s="467">
        <f>'AUTO 2025'!AD44</f>
        <v>1007.22</v>
      </c>
      <c r="M23" s="452"/>
      <c r="N23" s="62"/>
      <c r="O23" s="62"/>
      <c r="P23" s="89"/>
    </row>
    <row r="24" spans="1:16" ht="15" thickBot="1" x14ac:dyDescent="0.35">
      <c r="A24" s="10">
        <f>SUM(A3:A23)</f>
        <v>21</v>
      </c>
      <c r="C24" s="471">
        <f t="shared" ref="C24:H24" si="0">SUM(C11:C23)</f>
        <v>10304.4</v>
      </c>
      <c r="D24" s="472">
        <f t="shared" si="0"/>
        <v>1176</v>
      </c>
      <c r="E24" s="454">
        <f t="shared" si="0"/>
        <v>21054.899999999998</v>
      </c>
      <c r="F24" s="454">
        <f t="shared" si="0"/>
        <v>20437.059999999998</v>
      </c>
      <c r="G24" s="472">
        <f t="shared" si="0"/>
        <v>26578.36</v>
      </c>
      <c r="H24" s="473">
        <f t="shared" si="0"/>
        <v>13289.18</v>
      </c>
      <c r="I24" s="471">
        <f t="shared" ref="I24:N24" si="1">SUM(I4:I23)</f>
        <v>2846</v>
      </c>
      <c r="J24" s="472">
        <f t="shared" si="1"/>
        <v>1045</v>
      </c>
      <c r="K24" s="472">
        <f t="shared" si="1"/>
        <v>41453.08</v>
      </c>
      <c r="L24" s="474">
        <f t="shared" si="1"/>
        <v>20726.54</v>
      </c>
      <c r="M24" s="453">
        <f t="shared" si="1"/>
        <v>0</v>
      </c>
      <c r="N24" s="454">
        <f t="shared" si="1"/>
        <v>0</v>
      </c>
      <c r="O24" s="454">
        <f>SUM(O3:O23)</f>
        <v>33813.4</v>
      </c>
      <c r="P24" s="455">
        <f>SUM(P3:P23)</f>
        <v>16906.7</v>
      </c>
    </row>
    <row r="25" spans="1:16" x14ac:dyDescent="0.3">
      <c r="C25" s="57"/>
      <c r="D25" s="57"/>
      <c r="E25" s="57"/>
      <c r="F25" s="57"/>
      <c r="G25" s="57"/>
      <c r="H25" s="57"/>
      <c r="K25" s="57"/>
      <c r="L25" s="57"/>
    </row>
    <row r="26" spans="1:16" x14ac:dyDescent="0.3">
      <c r="A26" s="877" t="s">
        <v>95</v>
      </c>
      <c r="B26" s="394" t="s">
        <v>89</v>
      </c>
      <c r="C26" s="57"/>
      <c r="D26" s="57"/>
      <c r="E26" s="213"/>
      <c r="F26" s="213"/>
      <c r="G26" s="400">
        <v>0</v>
      </c>
      <c r="H26" s="7">
        <v>0</v>
      </c>
      <c r="K26" s="7">
        <f>SUM(K4:K10)</f>
        <v>12777.84</v>
      </c>
      <c r="L26" s="7">
        <f>SUM(L4:L10)</f>
        <v>6388.92</v>
      </c>
      <c r="O26" s="7">
        <f>O3</f>
        <v>2000.46</v>
      </c>
      <c r="P26" s="7">
        <f>P3</f>
        <v>1000.23</v>
      </c>
    </row>
    <row r="27" spans="1:16" x14ac:dyDescent="0.3">
      <c r="A27" s="878"/>
      <c r="B27" s="394" t="s">
        <v>90</v>
      </c>
      <c r="C27" s="57"/>
      <c r="D27" s="57"/>
      <c r="E27" s="197"/>
      <c r="F27" s="197"/>
      <c r="G27" s="400">
        <v>0</v>
      </c>
      <c r="H27" s="7">
        <v>0</v>
      </c>
      <c r="K27" s="7">
        <f>SUM(K19:K23)</f>
        <v>11044.300000000001</v>
      </c>
      <c r="L27" s="7">
        <f>SUM(L19:L23)</f>
        <v>5522.1500000000005</v>
      </c>
      <c r="O27" s="7">
        <f>SUM(O17:O18)+O12</f>
        <v>7039.2000000000007</v>
      </c>
      <c r="P27" s="7">
        <f>SUM(P17:P18)+P12</f>
        <v>3519.6000000000004</v>
      </c>
    </row>
    <row r="28" spans="1:16" x14ac:dyDescent="0.3">
      <c r="A28" s="878"/>
      <c r="H28" s="57"/>
      <c r="I28" s="57"/>
      <c r="J28" s="57"/>
      <c r="K28" s="57"/>
      <c r="L28" s="57"/>
    </row>
    <row r="29" spans="1:16" s="442" customFormat="1" x14ac:dyDescent="0.3">
      <c r="A29" s="878"/>
      <c r="B29" s="482" t="s">
        <v>93</v>
      </c>
      <c r="D29" s="444"/>
      <c r="E29" s="219"/>
      <c r="F29" s="444"/>
      <c r="G29" s="445">
        <f>AVERAGE(G11:G23)</f>
        <v>2044.4892307692307</v>
      </c>
      <c r="H29" s="445">
        <f>AVERAGE(H11:H23)</f>
        <v>1022.2446153846154</v>
      </c>
      <c r="I29" s="444"/>
      <c r="J29" s="444"/>
      <c r="K29" s="445">
        <f>AVERAGE(K11:K23)</f>
        <v>2205.7876923076924</v>
      </c>
      <c r="L29" s="445">
        <f>AVERAGE(L11:L23)</f>
        <v>1102.8938461538462</v>
      </c>
      <c r="M29" s="444"/>
      <c r="N29" s="444"/>
      <c r="O29" s="445">
        <f>AVERAGE(O4:O18)</f>
        <v>2120.8626666666664</v>
      </c>
      <c r="P29" s="445">
        <f>AVERAGE(P4:P18)</f>
        <v>1060.4313333333332</v>
      </c>
    </row>
    <row r="30" spans="1:16" s="442" customFormat="1" x14ac:dyDescent="0.3">
      <c r="A30" s="878"/>
      <c r="B30" s="482" t="s">
        <v>94</v>
      </c>
      <c r="D30" s="444"/>
      <c r="E30" s="445">
        <f>AVERAGE(E11:E23)</f>
        <v>1619.6076923076921</v>
      </c>
      <c r="F30" s="444"/>
      <c r="G30" s="445">
        <f>AVERAGE(G11:G23)</f>
        <v>2044.4892307692307</v>
      </c>
      <c r="H30" s="445">
        <f>AVERAGE(H11:H23)</f>
        <v>1022.2446153846154</v>
      </c>
      <c r="I30" s="444"/>
      <c r="J30" s="444"/>
      <c r="K30" s="445">
        <f>AVERAGE(K4:K18)</f>
        <v>2027.2520000000002</v>
      </c>
      <c r="L30" s="445">
        <f>AVERAGE(L4:L18)</f>
        <v>1013.6260000000001</v>
      </c>
      <c r="M30" s="444"/>
      <c r="N30" s="444"/>
      <c r="O30" s="539">
        <f>AVERAGE(O3:O11,O13:O16)</f>
        <v>2059.5538461538458</v>
      </c>
      <c r="P30" s="539">
        <f>AVERAGE(P3:P11,P13:P16)</f>
        <v>1029.7769230769229</v>
      </c>
    </row>
    <row r="31" spans="1:16" s="442" customFormat="1" x14ac:dyDescent="0.3">
      <c r="A31" s="878"/>
      <c r="B31" s="482" t="s">
        <v>88</v>
      </c>
      <c r="D31" s="444"/>
      <c r="E31" s="445">
        <f>E24/E66</f>
        <v>1619.6076923076921</v>
      </c>
      <c r="F31" s="444"/>
      <c r="G31" s="445">
        <f>G24/G66</f>
        <v>2044.4892307692307</v>
      </c>
      <c r="H31" s="445">
        <f>H24/G66</f>
        <v>1022.2446153846154</v>
      </c>
      <c r="I31" s="444"/>
      <c r="J31" s="444"/>
      <c r="K31" s="445">
        <f>K24/K67</f>
        <v>2072.654</v>
      </c>
      <c r="L31" s="445">
        <f>L24/K67</f>
        <v>1036.327</v>
      </c>
      <c r="M31" s="444"/>
      <c r="N31" s="444"/>
      <c r="O31" s="445">
        <f>O24/O67</f>
        <v>2113.3375000000001</v>
      </c>
      <c r="P31" s="445">
        <f>P24/O67</f>
        <v>1056.66875</v>
      </c>
    </row>
    <row r="32" spans="1:16" s="442" customFormat="1" x14ac:dyDescent="0.3">
      <c r="A32" s="878"/>
      <c r="B32" s="434"/>
      <c r="D32" s="444"/>
      <c r="E32" s="493"/>
      <c r="F32" s="444"/>
      <c r="G32" s="493"/>
      <c r="H32" s="493"/>
      <c r="I32" s="444"/>
      <c r="J32" s="444"/>
      <c r="K32" s="493"/>
      <c r="L32" s="493"/>
      <c r="M32" s="444"/>
      <c r="N32" s="444"/>
      <c r="O32" s="493"/>
      <c r="P32" s="493"/>
    </row>
    <row r="33" spans="1:16" s="442" customFormat="1" x14ac:dyDescent="0.3">
      <c r="A33" s="878"/>
      <c r="B33" s="483" t="s">
        <v>100</v>
      </c>
      <c r="F33" s="437">
        <f>(G29-E30)/E30*100</f>
        <v>26.233608328702594</v>
      </c>
      <c r="H33" s="446"/>
      <c r="K33" s="437">
        <f>(K29-G30)/G30*100</f>
        <v>7.8894258336481311</v>
      </c>
      <c r="L33" s="437">
        <f>(L29-H30)/H30*100</f>
        <v>7.8894258336481311</v>
      </c>
      <c r="N33" s="447"/>
      <c r="O33" s="437">
        <f>(O29-K30)/K30*100</f>
        <v>4.6176137286665027</v>
      </c>
      <c r="P33" s="437">
        <f>(P29-L30)/L30*100</f>
        <v>4.6176137286665027</v>
      </c>
    </row>
    <row r="34" spans="1:16" s="442" customFormat="1" x14ac:dyDescent="0.3">
      <c r="A34" s="879"/>
      <c r="B34" s="483" t="s">
        <v>101</v>
      </c>
      <c r="F34" s="437">
        <f>(G31-E31)/E31*100</f>
        <v>26.233608328702594</v>
      </c>
      <c r="H34" s="446"/>
      <c r="K34" s="437">
        <f>(K31-G31)/G31*100</f>
        <v>1.3775944038684114</v>
      </c>
      <c r="L34" s="437">
        <f>(L31-H31)/H31*100</f>
        <v>1.3775944038684114</v>
      </c>
      <c r="N34" s="447"/>
      <c r="O34" s="437">
        <f>(O31-K31)/K31*100</f>
        <v>1.9628698277667229</v>
      </c>
      <c r="P34" s="437">
        <f>(P31-L31)/L31*100</f>
        <v>1.9628698277667229</v>
      </c>
    </row>
    <row r="35" spans="1:16" ht="15" thickBot="1" x14ac:dyDescent="0.35">
      <c r="D35" s="435"/>
      <c r="E35" s="436"/>
      <c r="F35" s="435"/>
      <c r="G35" s="436"/>
      <c r="H35" s="436"/>
      <c r="I35" s="435"/>
      <c r="J35" s="435"/>
      <c r="K35" s="436"/>
      <c r="L35" s="436"/>
      <c r="M35" s="435"/>
      <c r="N35" s="435"/>
      <c r="O35" s="436"/>
      <c r="P35" s="436"/>
    </row>
    <row r="36" spans="1:16" x14ac:dyDescent="0.3">
      <c r="B36" s="488" t="s">
        <v>75</v>
      </c>
      <c r="C36" s="882">
        <v>2024</v>
      </c>
      <c r="D36" s="883"/>
      <c r="E36" s="884"/>
      <c r="F36" s="884"/>
      <c r="G36" s="884"/>
      <c r="H36" s="885"/>
      <c r="I36" s="882">
        <v>2025</v>
      </c>
      <c r="J36" s="883"/>
      <c r="K36" s="884"/>
      <c r="L36" s="885"/>
      <c r="M36" s="882">
        <v>2026</v>
      </c>
      <c r="N36" s="883"/>
      <c r="O36" s="884"/>
      <c r="P36" s="885"/>
    </row>
    <row r="37" spans="1:16" ht="28.8" x14ac:dyDescent="0.3">
      <c r="B37" s="65" t="s">
        <v>19</v>
      </c>
      <c r="C37" s="163" t="s">
        <v>72</v>
      </c>
      <c r="D37" s="201" t="s">
        <v>27</v>
      </c>
      <c r="E37" s="167" t="s">
        <v>10</v>
      </c>
      <c r="F37" s="167" t="s">
        <v>78</v>
      </c>
      <c r="G37" s="199" t="s">
        <v>10</v>
      </c>
      <c r="H37" s="165" t="s">
        <v>10</v>
      </c>
      <c r="I37" s="108" t="s">
        <v>72</v>
      </c>
      <c r="J37" s="10" t="s">
        <v>27</v>
      </c>
      <c r="K37" s="14" t="s">
        <v>79</v>
      </c>
      <c r="L37" s="94" t="s">
        <v>80</v>
      </c>
      <c r="M37" s="163" t="s">
        <v>72</v>
      </c>
      <c r="N37" s="201" t="s">
        <v>27</v>
      </c>
      <c r="O37" s="14" t="s">
        <v>79</v>
      </c>
      <c r="P37" s="94" t="s">
        <v>80</v>
      </c>
    </row>
    <row r="38" spans="1:16" x14ac:dyDescent="0.3">
      <c r="A38" s="4">
        <v>1</v>
      </c>
      <c r="B38" s="485" t="s">
        <v>119</v>
      </c>
      <c r="C38" s="281"/>
      <c r="D38" s="246"/>
      <c r="E38" s="245"/>
      <c r="F38" s="245"/>
      <c r="G38" s="245"/>
      <c r="H38" s="460"/>
      <c r="I38" s="280"/>
      <c r="J38" s="268"/>
      <c r="K38" s="284"/>
      <c r="L38" s="285"/>
      <c r="M38" s="477"/>
      <c r="N38" s="244"/>
      <c r="O38" s="475"/>
      <c r="P38" s="478"/>
    </row>
    <row r="39" spans="1:16" x14ac:dyDescent="0.3">
      <c r="A39" s="4">
        <v>1</v>
      </c>
      <c r="B39" s="67" t="s">
        <v>121</v>
      </c>
      <c r="C39" s="259"/>
      <c r="D39" s="247"/>
      <c r="E39" s="457"/>
      <c r="F39" s="457"/>
      <c r="G39" s="457"/>
      <c r="H39" s="461"/>
      <c r="I39" s="259"/>
      <c r="J39" s="247"/>
      <c r="K39" s="347"/>
      <c r="L39" s="287"/>
      <c r="M39" s="269"/>
      <c r="N39" s="4"/>
      <c r="O39" s="356">
        <f t="shared" ref="O39:O53" si="2">(O4-K4)/K4*100</f>
        <v>4.5559991969842315</v>
      </c>
      <c r="P39" s="357">
        <f t="shared" ref="P39:P53" si="3">(P4-L4)/L4*100</f>
        <v>4.5559991969842315</v>
      </c>
    </row>
    <row r="40" spans="1:16" x14ac:dyDescent="0.3">
      <c r="A40" s="4">
        <v>1</v>
      </c>
      <c r="B40" s="67" t="s">
        <v>122</v>
      </c>
      <c r="C40" s="259"/>
      <c r="D40" s="247"/>
      <c r="E40" s="457"/>
      <c r="F40" s="457"/>
      <c r="G40" s="457"/>
      <c r="H40" s="461"/>
      <c r="I40" s="256"/>
      <c r="J40" s="257"/>
      <c r="K40" s="347"/>
      <c r="L40" s="287"/>
      <c r="M40" s="269"/>
      <c r="N40" s="4"/>
      <c r="O40" s="348">
        <f t="shared" si="2"/>
        <v>4.5559991969842315</v>
      </c>
      <c r="P40" s="349">
        <f t="shared" si="3"/>
        <v>4.5559991969842315</v>
      </c>
    </row>
    <row r="41" spans="1:16" x14ac:dyDescent="0.3">
      <c r="A41" s="4">
        <v>1</v>
      </c>
      <c r="B41" s="67" t="s">
        <v>123</v>
      </c>
      <c r="C41" s="259"/>
      <c r="D41" s="247"/>
      <c r="E41" s="457"/>
      <c r="F41" s="457"/>
      <c r="G41" s="457"/>
      <c r="H41" s="461"/>
      <c r="I41" s="250">
        <v>1</v>
      </c>
      <c r="J41" s="251" t="s">
        <v>30</v>
      </c>
      <c r="K41" s="286"/>
      <c r="L41" s="287"/>
      <c r="M41" s="269"/>
      <c r="N41" s="4"/>
      <c r="O41" s="348">
        <f t="shared" si="2"/>
        <v>4.5559991969842315</v>
      </c>
      <c r="P41" s="349">
        <f t="shared" si="3"/>
        <v>4.5559991969842315</v>
      </c>
    </row>
    <row r="42" spans="1:16" x14ac:dyDescent="0.3">
      <c r="A42" s="4">
        <v>1</v>
      </c>
      <c r="B42" s="67" t="s">
        <v>124</v>
      </c>
      <c r="C42" s="259"/>
      <c r="D42" s="247"/>
      <c r="E42" s="457"/>
      <c r="F42" s="457"/>
      <c r="G42" s="457"/>
      <c r="H42" s="461"/>
      <c r="I42" s="269">
        <v>1</v>
      </c>
      <c r="J42" s="4" t="s">
        <v>30</v>
      </c>
      <c r="K42" s="286"/>
      <c r="L42" s="287"/>
      <c r="M42" s="269"/>
      <c r="N42" s="4"/>
      <c r="O42" s="348">
        <f t="shared" si="2"/>
        <v>4.5559991969842315</v>
      </c>
      <c r="P42" s="349">
        <f t="shared" si="3"/>
        <v>4.5559991969842315</v>
      </c>
    </row>
    <row r="43" spans="1:16" x14ac:dyDescent="0.3">
      <c r="A43" s="4">
        <v>1</v>
      </c>
      <c r="B43" s="67" t="s">
        <v>125</v>
      </c>
      <c r="C43" s="259"/>
      <c r="D43" s="247"/>
      <c r="E43" s="457"/>
      <c r="F43" s="457"/>
      <c r="G43" s="457"/>
      <c r="H43" s="461"/>
      <c r="I43" s="259"/>
      <c r="J43" s="247"/>
      <c r="K43" s="347"/>
      <c r="L43" s="287"/>
      <c r="M43" s="269"/>
      <c r="N43" s="4"/>
      <c r="O43" s="348">
        <f t="shared" si="2"/>
        <v>5.1282596447213171</v>
      </c>
      <c r="P43" s="349">
        <f t="shared" si="3"/>
        <v>5.1282596447213171</v>
      </c>
    </row>
    <row r="44" spans="1:16" x14ac:dyDescent="0.3">
      <c r="A44" s="4">
        <v>1</v>
      </c>
      <c r="B44" s="67" t="s">
        <v>126</v>
      </c>
      <c r="C44" s="259"/>
      <c r="D44" s="247"/>
      <c r="E44" s="457"/>
      <c r="F44" s="457"/>
      <c r="G44" s="457"/>
      <c r="H44" s="461"/>
      <c r="I44" s="259"/>
      <c r="J44" s="247"/>
      <c r="K44" s="347"/>
      <c r="L44" s="287"/>
      <c r="M44" s="269"/>
      <c r="N44" s="4"/>
      <c r="O44" s="348">
        <f t="shared" si="2"/>
        <v>5.1282596447213171</v>
      </c>
      <c r="P44" s="349">
        <f t="shared" si="3"/>
        <v>5.1282596447213171</v>
      </c>
    </row>
    <row r="45" spans="1:16" x14ac:dyDescent="0.3">
      <c r="A45" s="4">
        <v>1</v>
      </c>
      <c r="B45" s="485" t="s">
        <v>128</v>
      </c>
      <c r="C45" s="256"/>
      <c r="D45" s="257"/>
      <c r="E45" s="198"/>
      <c r="F45" s="198"/>
      <c r="G45" s="198"/>
      <c r="H45" s="462"/>
      <c r="I45" s="256"/>
      <c r="J45" s="257"/>
      <c r="K45" s="456"/>
      <c r="L45" s="288"/>
      <c r="M45" s="269"/>
      <c r="N45" s="4"/>
      <c r="O45" s="348">
        <f t="shared" si="2"/>
        <v>4.6455325154706291</v>
      </c>
      <c r="P45" s="349">
        <f t="shared" si="3"/>
        <v>4.6455325154706291</v>
      </c>
    </row>
    <row r="46" spans="1:16" x14ac:dyDescent="0.3">
      <c r="A46" s="4">
        <v>1</v>
      </c>
      <c r="B46" s="66" t="s">
        <v>133</v>
      </c>
      <c r="C46" s="248">
        <v>1</v>
      </c>
      <c r="D46" s="249" t="s">
        <v>29</v>
      </c>
      <c r="E46" s="301"/>
      <c r="F46" s="346">
        <f>(F11-E11)/E11*100</f>
        <v>11.336669499260372</v>
      </c>
      <c r="G46" s="303"/>
      <c r="H46" s="463"/>
      <c r="I46" s="313"/>
      <c r="J46" s="317"/>
      <c r="K46" s="292">
        <f t="shared" ref="K46:K58" si="4">(K11-G11)/G11*100</f>
        <v>10.310874470153978</v>
      </c>
      <c r="L46" s="291">
        <f t="shared" ref="L46:L58" si="5">(L11-H11)/H11*100</f>
        <v>10.310874470153978</v>
      </c>
      <c r="M46" s="269"/>
      <c r="N46" s="4"/>
      <c r="O46" s="348">
        <f t="shared" si="2"/>
        <v>4.0779125195765555</v>
      </c>
      <c r="P46" s="349">
        <f t="shared" si="3"/>
        <v>4.0779125195765555</v>
      </c>
    </row>
    <row r="47" spans="1:16" x14ac:dyDescent="0.3">
      <c r="A47" s="4">
        <v>1</v>
      </c>
      <c r="B47" s="66" t="s">
        <v>138</v>
      </c>
      <c r="C47" s="273">
        <v>1</v>
      </c>
      <c r="D47" s="262" t="s">
        <v>29</v>
      </c>
      <c r="E47" s="464"/>
      <c r="F47" s="43">
        <f>(G12-E12)/E12*100</f>
        <v>23.173173739407861</v>
      </c>
      <c r="G47" s="303"/>
      <c r="H47" s="463"/>
      <c r="I47" s="269">
        <v>1</v>
      </c>
      <c r="J47" s="4" t="s">
        <v>30</v>
      </c>
      <c r="K47" s="529">
        <f t="shared" si="4"/>
        <v>16.801991292686967</v>
      </c>
      <c r="L47" s="530">
        <f t="shared" si="5"/>
        <v>16.801991292686967</v>
      </c>
      <c r="M47" s="531"/>
      <c r="N47" s="39"/>
      <c r="O47" s="532">
        <f t="shared" si="2"/>
        <v>5.0594887038303895</v>
      </c>
      <c r="P47" s="533">
        <f t="shared" si="3"/>
        <v>5.0594887038303895</v>
      </c>
    </row>
    <row r="48" spans="1:16" x14ac:dyDescent="0.3">
      <c r="A48" s="4">
        <v>1</v>
      </c>
      <c r="B48" s="66" t="s">
        <v>139</v>
      </c>
      <c r="C48" s="258">
        <v>2</v>
      </c>
      <c r="D48" s="16" t="s">
        <v>30</v>
      </c>
      <c r="E48" s="465"/>
      <c r="F48" s="43">
        <f>(F13-E13)/E13*100</f>
        <v>23.815617785807493</v>
      </c>
      <c r="G48" s="306"/>
      <c r="H48" s="463"/>
      <c r="I48" s="299"/>
      <c r="J48" s="316"/>
      <c r="K48" s="289">
        <f t="shared" si="4"/>
        <v>5.321698332608662</v>
      </c>
      <c r="L48" s="290">
        <f t="shared" si="5"/>
        <v>5.321698332608662</v>
      </c>
      <c r="M48" s="269"/>
      <c r="N48" s="4"/>
      <c r="O48" s="348">
        <f t="shared" si="2"/>
        <v>4.1791474654378078</v>
      </c>
      <c r="P48" s="349">
        <f t="shared" si="3"/>
        <v>4.1791474654378078</v>
      </c>
    </row>
    <row r="49" spans="1:17" x14ac:dyDescent="0.3">
      <c r="A49" s="4">
        <v>1</v>
      </c>
      <c r="B49" s="66" t="s">
        <v>140</v>
      </c>
      <c r="C49" s="252">
        <v>1</v>
      </c>
      <c r="D49" s="4" t="s">
        <v>30</v>
      </c>
      <c r="E49" s="464"/>
      <c r="F49" s="43">
        <f>(F14-E14)/E14*100</f>
        <v>23.815617785807493</v>
      </c>
      <c r="G49" s="303"/>
      <c r="H49" s="463"/>
      <c r="I49" s="313"/>
      <c r="J49" s="317"/>
      <c r="K49" s="289">
        <f t="shared" si="4"/>
        <v>5.306531037341883</v>
      </c>
      <c r="L49" s="290">
        <f t="shared" si="5"/>
        <v>5.306531037341883</v>
      </c>
      <c r="M49" s="269"/>
      <c r="N49" s="4"/>
      <c r="O49" s="348">
        <f t="shared" si="2"/>
        <v>5.1812376974410714</v>
      </c>
      <c r="P49" s="349">
        <f t="shared" si="3"/>
        <v>5.1812376974410714</v>
      </c>
    </row>
    <row r="50" spans="1:17" x14ac:dyDescent="0.3">
      <c r="A50" s="4">
        <v>1</v>
      </c>
      <c r="B50" s="66" t="s">
        <v>141</v>
      </c>
      <c r="C50" s="309"/>
      <c r="D50" s="310"/>
      <c r="E50" s="464"/>
      <c r="F50" s="43">
        <f>(F15-E15)/E15*100</f>
        <v>25.15212981744423</v>
      </c>
      <c r="G50" s="303"/>
      <c r="H50" s="463"/>
      <c r="I50" s="311"/>
      <c r="J50" s="318"/>
      <c r="K50" s="289">
        <f t="shared" si="4"/>
        <v>5.7213602183818111</v>
      </c>
      <c r="L50" s="290">
        <f t="shared" si="5"/>
        <v>5.7213602183818111</v>
      </c>
      <c r="M50" s="269"/>
      <c r="N50" s="4"/>
      <c r="O50" s="348">
        <f t="shared" si="2"/>
        <v>4.5037002908399879</v>
      </c>
      <c r="P50" s="349">
        <f t="shared" si="3"/>
        <v>4.5037002908399879</v>
      </c>
    </row>
    <row r="51" spans="1:17" x14ac:dyDescent="0.3">
      <c r="A51" s="4">
        <v>1</v>
      </c>
      <c r="B51" s="66" t="s">
        <v>142</v>
      </c>
      <c r="C51" s="273">
        <v>2</v>
      </c>
      <c r="D51" s="262" t="s">
        <v>74</v>
      </c>
      <c r="E51" s="303"/>
      <c r="F51" s="43">
        <f>(F16-E16)/E16*100</f>
        <v>25.167107103995022</v>
      </c>
      <c r="G51" s="303"/>
      <c r="H51" s="463"/>
      <c r="I51" s="274">
        <v>1</v>
      </c>
      <c r="J51" s="275" t="s">
        <v>29</v>
      </c>
      <c r="K51" s="292">
        <f t="shared" si="4"/>
        <v>19.916431652289308</v>
      </c>
      <c r="L51" s="291">
        <f t="shared" si="5"/>
        <v>19.916431652289308</v>
      </c>
      <c r="M51" s="269"/>
      <c r="N51" s="4"/>
      <c r="O51" s="348">
        <f t="shared" si="2"/>
        <v>4.6084543088615444</v>
      </c>
      <c r="P51" s="349">
        <f t="shared" si="3"/>
        <v>4.6084543088615444</v>
      </c>
    </row>
    <row r="52" spans="1:17" x14ac:dyDescent="0.3">
      <c r="A52" s="4">
        <v>1</v>
      </c>
      <c r="B52" s="66" t="s">
        <v>144</v>
      </c>
      <c r="C52" s="313"/>
      <c r="D52" s="459"/>
      <c r="E52" s="464"/>
      <c r="F52" s="43">
        <f>(G17-E17)/E17*100</f>
        <v>24.632491519035064</v>
      </c>
      <c r="G52" s="303"/>
      <c r="H52" s="463"/>
      <c r="I52" s="248">
        <v>2</v>
      </c>
      <c r="J52" s="265" t="s">
        <v>77</v>
      </c>
      <c r="K52" s="529">
        <f t="shared" si="4"/>
        <v>5.5516911134633737</v>
      </c>
      <c r="L52" s="530">
        <f t="shared" si="5"/>
        <v>5.5516911134633737</v>
      </c>
      <c r="M52" s="531"/>
      <c r="N52" s="39"/>
      <c r="O52" s="532">
        <f t="shared" si="2"/>
        <v>4.2912265286241018</v>
      </c>
      <c r="P52" s="533">
        <f t="shared" si="3"/>
        <v>4.2912265286241018</v>
      </c>
    </row>
    <row r="53" spans="1:17" x14ac:dyDescent="0.3">
      <c r="A53" s="4">
        <v>1</v>
      </c>
      <c r="B53" s="66" t="s">
        <v>145</v>
      </c>
      <c r="C53" s="313"/>
      <c r="D53" s="459"/>
      <c r="E53" s="304"/>
      <c r="F53" s="293">
        <f>(G18-E18)/E18*100</f>
        <v>24.635004397537386</v>
      </c>
      <c r="G53" s="303"/>
      <c r="H53" s="463"/>
      <c r="I53" s="299"/>
      <c r="J53" s="316"/>
      <c r="K53" s="534">
        <f t="shared" si="4"/>
        <v>5.5334334707702721</v>
      </c>
      <c r="L53" s="513">
        <f t="shared" si="5"/>
        <v>5.5334334707702721</v>
      </c>
      <c r="M53" s="535"/>
      <c r="N53" s="399"/>
      <c r="O53" s="536">
        <f t="shared" si="2"/>
        <v>4.2775538276369529</v>
      </c>
      <c r="P53" s="537">
        <f t="shared" si="3"/>
        <v>4.2775538276369529</v>
      </c>
    </row>
    <row r="54" spans="1:17" x14ac:dyDescent="0.3">
      <c r="A54" s="4">
        <v>1</v>
      </c>
      <c r="B54" s="66" t="s">
        <v>163</v>
      </c>
      <c r="C54" s="313"/>
      <c r="D54" s="459"/>
      <c r="E54" s="304"/>
      <c r="F54" s="293">
        <f>(F19-E19)/E19*100</f>
        <v>24.160586426407352</v>
      </c>
      <c r="G54" s="303"/>
      <c r="H54" s="463"/>
      <c r="I54" s="311"/>
      <c r="J54" s="318"/>
      <c r="K54" s="512">
        <f t="shared" si="4"/>
        <v>5.3067328032679519</v>
      </c>
      <c r="L54" s="513">
        <f t="shared" si="5"/>
        <v>5.3067328032679519</v>
      </c>
      <c r="M54" s="254"/>
      <c r="N54" s="255"/>
      <c r="O54" s="476"/>
      <c r="P54" s="479"/>
    </row>
    <row r="55" spans="1:17" x14ac:dyDescent="0.3">
      <c r="A55" s="4">
        <v>1</v>
      </c>
      <c r="B55" s="66" t="s">
        <v>164</v>
      </c>
      <c r="C55" s="269">
        <v>1</v>
      </c>
      <c r="D55" s="4" t="s">
        <v>30</v>
      </c>
      <c r="E55" s="301"/>
      <c r="F55" s="293">
        <f>(F20-E20)/E20*100</f>
        <v>31.604109093877181</v>
      </c>
      <c r="G55" s="303"/>
      <c r="H55" s="463"/>
      <c r="I55" s="309"/>
      <c r="J55" s="319"/>
      <c r="K55" s="512">
        <f t="shared" si="4"/>
        <v>5.7576376372821594</v>
      </c>
      <c r="L55" s="513">
        <f t="shared" si="5"/>
        <v>5.7576376372821594</v>
      </c>
      <c r="M55" s="259"/>
      <c r="N55" s="247"/>
      <c r="O55" s="347"/>
      <c r="P55" s="364"/>
    </row>
    <row r="56" spans="1:17" x14ac:dyDescent="0.3">
      <c r="A56" s="4">
        <v>1</v>
      </c>
      <c r="B56" s="66" t="s">
        <v>165</v>
      </c>
      <c r="C56" s="309"/>
      <c r="D56" s="310"/>
      <c r="E56" s="464"/>
      <c r="F56" s="43">
        <f>(F21-E21)/E21*100</f>
        <v>33.357373721184928</v>
      </c>
      <c r="G56" s="303"/>
      <c r="H56" s="463"/>
      <c r="I56" s="263">
        <v>1</v>
      </c>
      <c r="J56" s="266" t="s">
        <v>29</v>
      </c>
      <c r="K56" s="512">
        <f t="shared" si="4"/>
        <v>5.7623205861688325</v>
      </c>
      <c r="L56" s="513">
        <f t="shared" si="5"/>
        <v>5.7623205861688325</v>
      </c>
      <c r="M56" s="259"/>
      <c r="N56" s="247"/>
      <c r="O56" s="347"/>
      <c r="P56" s="364"/>
    </row>
    <row r="57" spans="1:17" x14ac:dyDescent="0.3">
      <c r="A57" s="4">
        <v>1</v>
      </c>
      <c r="B57" s="486" t="s">
        <v>166</v>
      </c>
      <c r="C57" s="258">
        <v>1</v>
      </c>
      <c r="D57" s="16" t="s">
        <v>30</v>
      </c>
      <c r="E57" s="302"/>
      <c r="F57" s="293">
        <f>(F22-E22)/E22*100</f>
        <v>37.984810258957623</v>
      </c>
      <c r="G57" s="306"/>
      <c r="H57" s="463"/>
      <c r="I57" s="299"/>
      <c r="J57" s="316"/>
      <c r="K57" s="512">
        <f t="shared" si="4"/>
        <v>5.5614983386502619</v>
      </c>
      <c r="L57" s="513">
        <f t="shared" si="5"/>
        <v>5.5614983386502619</v>
      </c>
      <c r="M57" s="259"/>
      <c r="N57" s="296"/>
      <c r="O57" s="347"/>
      <c r="P57" s="364"/>
    </row>
    <row r="58" spans="1:17" ht="15" thickBot="1" x14ac:dyDescent="0.35">
      <c r="A58" s="4">
        <v>1</v>
      </c>
      <c r="B58" s="486" t="s">
        <v>167</v>
      </c>
      <c r="C58" s="314"/>
      <c r="D58" s="315"/>
      <c r="E58" s="305"/>
      <c r="F58" s="294">
        <f>(F23-E23)/E23*100</f>
        <v>37.926493995080307</v>
      </c>
      <c r="G58" s="307"/>
      <c r="H58" s="466"/>
      <c r="I58" s="314"/>
      <c r="J58" s="320"/>
      <c r="K58" s="514">
        <f t="shared" si="4"/>
        <v>5.614042446103511</v>
      </c>
      <c r="L58" s="515">
        <f t="shared" si="5"/>
        <v>5.614042446103511</v>
      </c>
      <c r="M58" s="480"/>
      <c r="N58" s="297"/>
      <c r="O58" s="365"/>
      <c r="P58" s="366"/>
    </row>
    <row r="59" spans="1:17" x14ac:dyDescent="0.3">
      <c r="A59" s="23">
        <f>SUM(A38:A58)</f>
        <v>21</v>
      </c>
      <c r="C59" s="57"/>
      <c r="D59" s="57"/>
      <c r="E59" s="57"/>
      <c r="F59" s="295"/>
      <c r="G59" s="57"/>
      <c r="N59"/>
    </row>
    <row r="60" spans="1:17" x14ac:dyDescent="0.3">
      <c r="G60"/>
      <c r="H60"/>
      <c r="K60" s="295"/>
      <c r="N60"/>
    </row>
    <row r="61" spans="1:17" x14ac:dyDescent="0.3">
      <c r="A61" s="875" t="s">
        <v>99</v>
      </c>
      <c r="B61" s="394" t="s">
        <v>102</v>
      </c>
      <c r="F61" s="43">
        <f>AVERAGE(F46:F58)</f>
        <v>26.673937318754021</v>
      </c>
      <c r="K61" s="43">
        <f>AVERAGE(K46:K58)</f>
        <v>7.8820187230129983</v>
      </c>
      <c r="L61" s="43">
        <f>AVERAGE(L46:L58)</f>
        <v>7.8820187230129983</v>
      </c>
      <c r="O61" s="43">
        <f>AVERAGE(O46:O53)</f>
        <v>4.5223401677810511</v>
      </c>
      <c r="P61" s="43">
        <f>AVERAGE(P46:P53)</f>
        <v>4.5223401677810511</v>
      </c>
    </row>
    <row r="62" spans="1:17" x14ac:dyDescent="0.3">
      <c r="A62" s="875"/>
      <c r="B62" s="394" t="s">
        <v>103</v>
      </c>
      <c r="F62" s="43">
        <f>AVERAGE(F46:F58)</f>
        <v>26.673937318754021</v>
      </c>
      <c r="K62" s="43">
        <f>AVERAGE(K46:K53)</f>
        <v>9.3080014484620328</v>
      </c>
      <c r="L62" s="43">
        <f>AVERAGE(L46:L53)</f>
        <v>9.3080014484620328</v>
      </c>
      <c r="O62" s="367">
        <f>AVERAGE(O39:O46,O48:O51)</f>
        <v>4.6397084062505964</v>
      </c>
      <c r="P62" s="367">
        <f>AVERAGE(P39:P46,P48:P51)</f>
        <v>4.6397084062505964</v>
      </c>
    </row>
    <row r="63" spans="1:17" x14ac:dyDescent="0.3">
      <c r="A63" s="875"/>
      <c r="B63" s="394" t="s">
        <v>101</v>
      </c>
      <c r="E63" s="442"/>
      <c r="F63" s="437">
        <f>AVERAGE(F46:F58)</f>
        <v>26.673937318754021</v>
      </c>
      <c r="G63" s="442"/>
      <c r="H63" s="442"/>
      <c r="I63" s="442"/>
      <c r="J63" s="442"/>
      <c r="K63" s="437">
        <f>AVERAGE(K46:K58)</f>
        <v>7.8820187230129983</v>
      </c>
      <c r="L63" s="437">
        <f>AVERAGE(L46:L58)</f>
        <v>7.8820187230129983</v>
      </c>
      <c r="M63" s="442"/>
      <c r="N63" s="447"/>
      <c r="O63" s="437">
        <f>AVERAGE(O39:O58)</f>
        <v>4.6203179956732408</v>
      </c>
      <c r="P63" s="437">
        <f>AVERAGE(P39:P58)</f>
        <v>4.6203179956732408</v>
      </c>
      <c r="Q63" s="442"/>
    </row>
    <row r="64" spans="1:17" x14ac:dyDescent="0.3"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</row>
    <row r="65" spans="1:16" x14ac:dyDescent="0.3">
      <c r="A65" s="876" t="s">
        <v>96</v>
      </c>
      <c r="B65" s="394" t="s">
        <v>98</v>
      </c>
      <c r="E65" s="219"/>
      <c r="F65" s="442"/>
      <c r="G65" s="16">
        <f>SUM(C38:C58)</f>
        <v>9</v>
      </c>
      <c r="H65" s="442"/>
      <c r="I65" s="442"/>
      <c r="J65" s="442"/>
      <c r="K65" s="16">
        <f>SUM(I38:I58)</f>
        <v>7</v>
      </c>
      <c r="L65" s="442"/>
      <c r="M65" s="442"/>
      <c r="N65" s="442"/>
      <c r="O65" s="16">
        <f>SUM(M39:M58)</f>
        <v>0</v>
      </c>
      <c r="P65" s="442"/>
    </row>
    <row r="66" spans="1:16" x14ac:dyDescent="0.3">
      <c r="A66" s="876"/>
      <c r="B66" s="394" t="s">
        <v>92</v>
      </c>
      <c r="E66" s="16">
        <f>SUM(A11:A23)</f>
        <v>13</v>
      </c>
      <c r="F66" s="442"/>
      <c r="G66" s="16">
        <f>SUM(A11:A23)</f>
        <v>13</v>
      </c>
      <c r="H66" s="442"/>
      <c r="I66" s="442"/>
      <c r="J66" s="442"/>
      <c r="K66" s="16">
        <f>SUM(A4:A18)</f>
        <v>15</v>
      </c>
      <c r="L66" s="442"/>
      <c r="M66" s="442"/>
      <c r="N66" s="442"/>
      <c r="O66" s="16">
        <f>SUM(A3:A11)+SUM(A13:A16)</f>
        <v>13</v>
      </c>
      <c r="P66" s="442"/>
    </row>
    <row r="67" spans="1:16" x14ac:dyDescent="0.3">
      <c r="A67" s="876"/>
      <c r="B67" s="394" t="s">
        <v>91</v>
      </c>
      <c r="E67" s="16">
        <f>SUM(A11:A23)</f>
        <v>13</v>
      </c>
      <c r="F67" s="442"/>
      <c r="G67" s="16">
        <f>SUM(A11:A23)</f>
        <v>13</v>
      </c>
      <c r="H67" s="442"/>
      <c r="I67" s="442"/>
      <c r="J67" s="442"/>
      <c r="K67" s="16">
        <f>SUM(A4:A23)</f>
        <v>20</v>
      </c>
      <c r="L67" s="442"/>
      <c r="M67" s="442"/>
      <c r="N67" s="442"/>
      <c r="O67" s="16">
        <f>SUM(A3:A18)</f>
        <v>16</v>
      </c>
      <c r="P67" s="442"/>
    </row>
    <row r="68" spans="1:16" x14ac:dyDescent="0.3">
      <c r="A68" s="876"/>
      <c r="B68" s="394" t="s">
        <v>97</v>
      </c>
      <c r="E68" s="437">
        <v>0</v>
      </c>
      <c r="F68" s="442"/>
      <c r="G68" s="437">
        <f>(G66-E66)/E66*100</f>
        <v>0</v>
      </c>
      <c r="H68" s="442"/>
      <c r="I68" s="442"/>
      <c r="J68" s="442"/>
      <c r="K68" s="437">
        <f>(K66-G66)/G66*100</f>
        <v>15.384615384615385</v>
      </c>
      <c r="L68" s="442"/>
      <c r="M68" s="442"/>
      <c r="N68" s="442"/>
      <c r="O68" s="437">
        <f>(O66-K66)/K66*100</f>
        <v>-13.333333333333334</v>
      </c>
      <c r="P68" s="442"/>
    </row>
    <row r="75" spans="1:16" x14ac:dyDescent="0.3">
      <c r="I75" s="34"/>
    </row>
    <row r="76" spans="1:16" x14ac:dyDescent="0.3">
      <c r="I76" s="34"/>
    </row>
    <row r="79" spans="1:16" x14ac:dyDescent="0.3">
      <c r="B79" s="34"/>
      <c r="D79" s="34"/>
    </row>
    <row r="80" spans="1:16" x14ac:dyDescent="0.3">
      <c r="B80" s="34"/>
      <c r="D80" s="34"/>
    </row>
    <row r="81" spans="2:2" x14ac:dyDescent="0.3">
      <c r="B81" s="394"/>
    </row>
    <row r="82" spans="2:2" x14ac:dyDescent="0.3">
      <c r="B82" s="34"/>
    </row>
    <row r="83" spans="2:2" x14ac:dyDescent="0.3">
      <c r="B83" s="34"/>
    </row>
  </sheetData>
  <mergeCells count="9">
    <mergeCell ref="A61:A63"/>
    <mergeCell ref="A65:A68"/>
    <mergeCell ref="C1:H1"/>
    <mergeCell ref="I1:L1"/>
    <mergeCell ref="M1:P1"/>
    <mergeCell ref="C36:H36"/>
    <mergeCell ref="I36:L36"/>
    <mergeCell ref="M36:P36"/>
    <mergeCell ref="A26:A3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AUTO 2026</vt:lpstr>
      <vt:lpstr>AUTO 2025</vt:lpstr>
      <vt:lpstr>AUTO 2024</vt:lpstr>
      <vt:lpstr>FLOTTE</vt:lpstr>
      <vt:lpstr>VH FONCTION</vt:lpstr>
      <vt:lpstr>VH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JACQUET</dc:creator>
  <cp:lastModifiedBy>Pauline JACQUET</cp:lastModifiedBy>
  <dcterms:created xsi:type="dcterms:W3CDTF">2025-02-18T12:37:10Z</dcterms:created>
  <dcterms:modified xsi:type="dcterms:W3CDTF">2026-02-14T15:49:12Z</dcterms:modified>
</cp:coreProperties>
</file>